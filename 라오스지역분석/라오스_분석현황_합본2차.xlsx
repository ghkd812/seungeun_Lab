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GL_P17041\Desktop\여승은업무\SQL분석 승은\라오스자료\"/>
    </mc:Choice>
  </mc:AlternateContent>
  <bookViews>
    <workbookView xWindow="0" yWindow="0" windowWidth="19200" windowHeight="11550" activeTab="3"/>
  </bookViews>
  <sheets>
    <sheet name="라오스관련검색어" sheetId="10" r:id="rId1"/>
    <sheet name="라오스 연도별 성별 여행객 추이" sheetId="3" r:id="rId2"/>
    <sheet name="연령대_성별 여행객수" sheetId="4" r:id="rId3"/>
    <sheet name="그룹별" sheetId="5" r:id="rId4"/>
    <sheet name="상품가격별선호" sheetId="6" r:id="rId5"/>
    <sheet name="연령대별_상품가격선호" sheetId="7" r:id="rId6"/>
    <sheet name="성별_상품가격이용추이" sheetId="8" r:id="rId7"/>
    <sheet name="라오스 선행예약시점" sheetId="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7" l="1"/>
  <c r="T36" i="5"/>
  <c r="T35" i="5"/>
  <c r="T34" i="5"/>
  <c r="T33" i="5"/>
  <c r="T32" i="5"/>
  <c r="T31" i="5"/>
  <c r="T30" i="5"/>
  <c r="S36" i="5"/>
  <c r="S35" i="5"/>
  <c r="S34" i="5"/>
  <c r="S33" i="5"/>
  <c r="S32" i="5"/>
  <c r="S31" i="5"/>
  <c r="S30" i="5"/>
  <c r="R36" i="5"/>
  <c r="R35" i="5"/>
  <c r="R34" i="5"/>
  <c r="R33" i="5"/>
  <c r="R32" i="5"/>
  <c r="R31" i="5"/>
  <c r="R30" i="5"/>
  <c r="T11" i="5"/>
  <c r="T10" i="5"/>
  <c r="T9" i="5"/>
  <c r="T8" i="5"/>
  <c r="T7" i="5"/>
  <c r="T6" i="5"/>
  <c r="T5" i="5"/>
  <c r="S11" i="5"/>
  <c r="S10" i="5"/>
  <c r="S9" i="5"/>
  <c r="S8" i="5"/>
  <c r="S7" i="5"/>
  <c r="S6" i="5"/>
  <c r="S5" i="5"/>
  <c r="R11" i="5"/>
  <c r="R10" i="5"/>
  <c r="R9" i="5"/>
  <c r="R8" i="5"/>
  <c r="R7" i="5"/>
  <c r="R6" i="5"/>
  <c r="R5" i="5"/>
  <c r="O49" i="5"/>
  <c r="O48" i="5"/>
  <c r="O47" i="5"/>
  <c r="O46" i="5"/>
  <c r="O45" i="5"/>
  <c r="O44" i="5"/>
  <c r="O50" i="5" s="1"/>
  <c r="O43" i="5"/>
  <c r="O42" i="5"/>
  <c r="O41" i="5"/>
  <c r="O40" i="5"/>
  <c r="O39" i="5"/>
  <c r="O38" i="5"/>
  <c r="O37" i="5"/>
  <c r="O35" i="5"/>
  <c r="O34" i="5"/>
  <c r="O33" i="5"/>
  <c r="O32" i="5"/>
  <c r="O31" i="5"/>
  <c r="O36" i="5" s="1"/>
  <c r="O30" i="5"/>
  <c r="H36" i="5"/>
  <c r="H35" i="5"/>
  <c r="H34" i="5"/>
  <c r="H33" i="5"/>
  <c r="H32" i="5"/>
  <c r="H31" i="5"/>
  <c r="H30" i="5"/>
  <c r="E49" i="5"/>
  <c r="E48" i="5"/>
  <c r="E47" i="5"/>
  <c r="E46" i="5"/>
  <c r="E45" i="5"/>
  <c r="E44" i="5"/>
  <c r="E50" i="5" s="1"/>
  <c r="E42" i="5"/>
  <c r="E41" i="5"/>
  <c r="E40" i="5"/>
  <c r="E39" i="5"/>
  <c r="E38" i="5"/>
  <c r="E37" i="5"/>
  <c r="E43" i="5" s="1"/>
  <c r="E35" i="5"/>
  <c r="E34" i="5"/>
  <c r="E33" i="5"/>
  <c r="E32" i="5"/>
  <c r="E36" i="5" s="1"/>
  <c r="E31" i="5"/>
  <c r="E30" i="5"/>
  <c r="J11" i="5"/>
  <c r="I11" i="5"/>
  <c r="H11" i="5"/>
  <c r="K17" i="4"/>
  <c r="K10" i="4"/>
  <c r="D50" i="4"/>
  <c r="D77" i="4"/>
  <c r="D69" i="4"/>
  <c r="D58" i="4"/>
  <c r="E12" i="4"/>
  <c r="E4" i="4"/>
  <c r="D39" i="4"/>
  <c r="D31" i="4"/>
  <c r="D19" i="4"/>
  <c r="D11" i="4"/>
  <c r="C13" i="3" l="1"/>
  <c r="D13" i="3"/>
  <c r="E13" i="3"/>
  <c r="J6" i="7" l="1"/>
  <c r="S6" i="7"/>
  <c r="P6" i="7"/>
  <c r="M6" i="7"/>
  <c r="L427" i="7"/>
  <c r="N28" i="6"/>
  <c r="N33" i="6" s="1"/>
  <c r="L28" i="6"/>
  <c r="L35" i="6" s="1"/>
  <c r="M28" i="6"/>
  <c r="M33" i="6" s="1"/>
  <c r="N35" i="6"/>
  <c r="M35" i="6"/>
  <c r="M34" i="6"/>
  <c r="L36" i="6"/>
  <c r="L34" i="6"/>
  <c r="L33" i="6"/>
  <c r="L32" i="6"/>
  <c r="L37" i="6" s="1"/>
  <c r="N27" i="6"/>
  <c r="N26" i="6"/>
  <c r="N25" i="6"/>
  <c r="N24" i="6"/>
  <c r="N23" i="6"/>
  <c r="M27" i="6"/>
  <c r="M26" i="6"/>
  <c r="M25" i="6"/>
  <c r="M24" i="6"/>
  <c r="M23" i="6"/>
  <c r="L27" i="6"/>
  <c r="L26" i="6"/>
  <c r="L25" i="6"/>
  <c r="L24" i="6"/>
  <c r="L23" i="6"/>
  <c r="B170" i="6"/>
  <c r="E81" i="6"/>
  <c r="L124" i="6"/>
  <c r="N34" i="6" l="1"/>
  <c r="N32" i="6"/>
  <c r="N36" i="6"/>
  <c r="M32" i="6"/>
  <c r="M36" i="6"/>
  <c r="M37" i="6" s="1"/>
  <c r="N37" i="6" l="1"/>
  <c r="O10" i="5"/>
  <c r="O9" i="5"/>
  <c r="O8" i="5"/>
  <c r="O7" i="5"/>
  <c r="O11" i="5" s="1"/>
  <c r="O6" i="5"/>
  <c r="O5" i="5"/>
  <c r="O17" i="5"/>
  <c r="O16" i="5"/>
  <c r="O15" i="5"/>
  <c r="O14" i="5"/>
  <c r="O13" i="5"/>
  <c r="O12" i="5"/>
  <c r="O18" i="5" s="1"/>
  <c r="O24" i="5"/>
  <c r="O23" i="5"/>
  <c r="O22" i="5"/>
  <c r="O21" i="5"/>
  <c r="O25" i="5" s="1"/>
  <c r="O20" i="5"/>
  <c r="O19" i="5"/>
  <c r="N25" i="9"/>
  <c r="N24" i="9"/>
  <c r="N23" i="9"/>
  <c r="N22" i="9"/>
  <c r="N21" i="9"/>
  <c r="N20" i="9"/>
  <c r="N19" i="9"/>
  <c r="N18" i="9"/>
  <c r="N26" i="9" s="1"/>
  <c r="M25" i="9"/>
  <c r="M24" i="9"/>
  <c r="M23" i="9"/>
  <c r="M22" i="9"/>
  <c r="M21" i="9"/>
  <c r="M20" i="9"/>
  <c r="M19" i="9"/>
  <c r="M18" i="9"/>
  <c r="M26" i="9" s="1"/>
  <c r="L25" i="9"/>
  <c r="L24" i="9"/>
  <c r="L23" i="9"/>
  <c r="L22" i="9"/>
  <c r="L21" i="9"/>
  <c r="L20" i="9"/>
  <c r="L19" i="9"/>
  <c r="L18" i="9"/>
  <c r="N13" i="9"/>
  <c r="N12" i="9"/>
  <c r="N11" i="9"/>
  <c r="N10" i="9"/>
  <c r="N9" i="9"/>
  <c r="N8" i="9"/>
  <c r="N7" i="9"/>
  <c r="N6" i="9"/>
  <c r="M13" i="9"/>
  <c r="M12" i="9"/>
  <c r="M11" i="9"/>
  <c r="M10" i="9"/>
  <c r="M9" i="9"/>
  <c r="M8" i="9"/>
  <c r="M7" i="9"/>
  <c r="M6" i="9"/>
  <c r="L13" i="9"/>
  <c r="L12" i="9"/>
  <c r="L11" i="9"/>
  <c r="L10" i="9"/>
  <c r="L9" i="9"/>
  <c r="L8" i="9"/>
  <c r="L7" i="9"/>
  <c r="L6" i="9"/>
  <c r="L26" i="9" l="1"/>
  <c r="N14" i="9"/>
  <c r="M14" i="9"/>
  <c r="L14" i="9"/>
  <c r="R6" i="7" l="1"/>
  <c r="O6" i="7"/>
  <c r="L6" i="7"/>
  <c r="I6" i="7"/>
  <c r="F6" i="7"/>
  <c r="D6" i="7"/>
  <c r="C6" i="7"/>
  <c r="E25" i="5" l="1"/>
  <c r="E18" i="5"/>
  <c r="E11" i="5"/>
  <c r="D4" i="3" l="1"/>
  <c r="C5" i="3"/>
  <c r="E5" i="3"/>
  <c r="D5" i="3"/>
  <c r="C4" i="3"/>
  <c r="E4" i="3" l="1"/>
</calcChain>
</file>

<file path=xl/comments1.xml><?xml version="1.0" encoding="utf-8"?>
<comments xmlns="http://schemas.openxmlformats.org/spreadsheetml/2006/main">
  <authors>
    <author>VGL_P17041</author>
  </authors>
  <commentList>
    <comment ref="F2" authorId="0" shapeId="0">
      <text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라오스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쿼리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라오스와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명소들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단어를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중심으로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양옆에</t>
        </r>
        <r>
          <rPr>
            <sz val="9"/>
            <color indexed="81"/>
            <rFont val="Tahoma"/>
            <family val="2"/>
          </rPr>
          <t xml:space="preserve"> LIKE %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주어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검색어들을</t>
        </r>
        <r>
          <rPr>
            <sz val="9"/>
            <color indexed="81"/>
            <rFont val="Tahoma"/>
            <family val="2"/>
          </rPr>
          <t xml:space="preserve"> 
   </t>
        </r>
        <r>
          <rPr>
            <sz val="9"/>
            <color indexed="81"/>
            <rFont val="돋움"/>
            <family val="3"/>
            <charset val="129"/>
          </rPr>
          <t>요청하는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쿼리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VGL_P17041</author>
  </authors>
  <commentList>
    <comment ref="G2" authorId="0" shapeId="0">
      <text>
        <r>
          <rPr>
            <sz val="9"/>
            <color indexed="81"/>
            <rFont val="돋움"/>
            <family val="3"/>
            <charset val="129"/>
          </rPr>
          <t>라오스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</t>
        </r>
        <r>
          <rPr>
            <sz val="9"/>
            <color indexed="81"/>
            <rFont val="Tahoma"/>
            <family val="2"/>
          </rPr>
          <t xml:space="preserve"> 'LA'
RP1712223898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예약건을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사용
</t>
        </r>
        <r>
          <rPr>
            <sz val="9"/>
            <color indexed="81"/>
            <rFont val="Tahoma"/>
            <family val="2"/>
          </rPr>
          <t xml:space="preserve">B.DEP_DATE &gt;= '2017-01-01'
B.DEP_DATE &lt; '2018-01-01'
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2017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불러옴
</t>
        </r>
        <r>
          <rPr>
            <sz val="9"/>
            <color indexed="81"/>
            <rFont val="Tahoma"/>
            <family val="2"/>
          </rPr>
          <t>2016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, 2015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얻기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위해서
</t>
        </r>
        <r>
          <rPr>
            <sz val="9"/>
            <color indexed="81"/>
            <rFont val="Tahoma"/>
            <family val="2"/>
          </rPr>
          <t>B.DEP_DATE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3.xml><?xml version="1.0" encoding="utf-8"?>
<comments xmlns="http://schemas.openxmlformats.org/spreadsheetml/2006/main">
  <authors>
    <author>VGL_P17041</author>
  </authors>
  <commentList>
    <comment ref="O2" authorId="0" shapeId="0">
      <text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성별에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연령별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여행자수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쿼리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select *
from pub_nation
where kor_name = '</t>
        </r>
        <r>
          <rPr>
            <b/>
            <sz val="9"/>
            <color indexed="81"/>
            <rFont val="돋움"/>
            <family val="3"/>
            <charset val="129"/>
          </rPr>
          <t>캄보디아</t>
        </r>
        <r>
          <rPr>
            <b/>
            <sz val="9"/>
            <color indexed="81"/>
            <rFont val="Tahoma"/>
            <family val="2"/>
          </rPr>
          <t xml:space="preserve">'
</t>
        </r>
        <r>
          <rPr>
            <b/>
            <sz val="9"/>
            <color indexed="81"/>
            <rFont val="돋움"/>
            <family val="3"/>
            <charset val="129"/>
          </rPr>
          <t>셀렉트문을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검색하여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바꿔가며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
상단의</t>
        </r>
        <r>
          <rPr>
            <b/>
            <sz val="9"/>
            <color indexed="81"/>
            <rFont val="Tahoma"/>
            <family val="2"/>
          </rPr>
          <t xml:space="preserve"> select </t>
        </r>
        <r>
          <rPr>
            <b/>
            <sz val="9"/>
            <color indexed="81"/>
            <rFont val="돋움"/>
            <family val="3"/>
            <charset val="129"/>
          </rPr>
          <t>문의</t>
        </r>
        <r>
          <rPr>
            <b/>
            <sz val="9"/>
            <color indexed="81"/>
            <rFont val="Tahoma"/>
            <family val="2"/>
          </rPr>
          <t xml:space="preserve"> start_date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검색
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하단의</t>
        </r>
        <r>
          <rPr>
            <b/>
            <sz val="9"/>
            <color indexed="81"/>
            <rFont val="Tahoma"/>
            <family val="2"/>
          </rPr>
          <t xml:space="preserve"> select</t>
        </r>
        <r>
          <rPr>
            <b/>
            <sz val="9"/>
            <color indexed="81"/>
            <rFont val="돋움"/>
            <family val="3"/>
            <charset val="129"/>
          </rPr>
          <t>문은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성별과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연령대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여행지역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인원수를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불로오기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명령문</t>
        </r>
      </text>
    </comment>
  </commentList>
</comments>
</file>

<file path=xl/comments4.xml><?xml version="1.0" encoding="utf-8"?>
<comments xmlns="http://schemas.openxmlformats.org/spreadsheetml/2006/main">
  <authors>
    <author>VGL_P17041</author>
  </authors>
  <commentList>
    <comment ref="B56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모바일에서 현재 쓰고 있는 그룹별 조건
출발인원이 1명이면 1인여행
출발인원이 2명 그리고 연령차가 2살차이까지 그리고 남자가 2 또는 여자가 2일경우 친구
예약팀내 최저연령이 12살이하 또는 연령차가 20살 차이가 나면 가족으로 선정
출발인원이 2로 나누면 0 그리고
출발인원 / 2 를 하면 남성 또는 여성
위의 경우들이 다 걸러지고 나머지 남은 정보에서 3명이상일 경우 단체
그리고 나머지 남는 인원들을 기타 </t>
        </r>
      </text>
    </comment>
  </commentList>
</comments>
</file>

<file path=xl/comments5.xml><?xml version="1.0" encoding="utf-8"?>
<comments xmlns="http://schemas.openxmlformats.org/spreadsheetml/2006/main">
  <authors>
    <author>VGL_P17041</author>
  </authors>
  <commentList>
    <comment ref="P3" authorId="0" shapeId="0">
      <text>
        <r>
          <rPr>
            <b/>
            <sz val="9"/>
            <color indexed="81"/>
            <rFont val="돋움"/>
            <family val="3"/>
            <charset val="129"/>
          </rPr>
          <t>라오스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조회하여
조건에</t>
        </r>
        <r>
          <rPr>
            <b/>
            <sz val="9"/>
            <color indexed="81"/>
            <rFont val="Tahoma"/>
            <family val="2"/>
          </rPr>
          <t xml:space="preserve"> dep_date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검색하고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싶은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상품가가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조회하여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끼리</t>
        </r>
        <r>
          <rPr>
            <b/>
            <sz val="9"/>
            <color indexed="81"/>
            <rFont val="Tahoma"/>
            <family val="2"/>
          </rPr>
          <t xml:space="preserve"> group by </t>
        </r>
        <r>
          <rPr>
            <b/>
            <sz val="9"/>
            <color indexed="81"/>
            <rFont val="돋움"/>
            <family val="3"/>
            <charset val="129"/>
          </rPr>
          <t>구문을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묶어</t>
        </r>
        <r>
          <rPr>
            <b/>
            <sz val="9"/>
            <color indexed="81"/>
            <rFont val="Tahoma"/>
            <family val="2"/>
          </rPr>
          <t xml:space="preserve"> order by </t>
        </r>
        <r>
          <rPr>
            <b/>
            <sz val="9"/>
            <color indexed="81"/>
            <rFont val="돋움"/>
            <family val="3"/>
            <charset val="129"/>
          </rPr>
          <t>정렬을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카운팅한다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>
  <authors>
    <author>VGL_P17041</author>
  </authors>
  <commentList>
    <comment ref="AC3" authorId="0" shapeId="0">
      <text>
        <r>
          <rPr>
            <b/>
            <sz val="9"/>
            <color indexed="81"/>
            <rFont val="돋움"/>
            <family val="3"/>
            <charset val="129"/>
          </rPr>
          <t>성별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쿼리에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조건을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생년월일</t>
        </r>
        <r>
          <rPr>
            <b/>
            <sz val="9"/>
            <color indexed="81"/>
            <rFont val="Tahoma"/>
            <family val="2"/>
          </rPr>
          <t xml:space="preserve"> birht_date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추가하고</t>
        </r>
        <r>
          <rPr>
            <b/>
            <sz val="9"/>
            <color indexed="81"/>
            <rFont val="Tahoma"/>
            <family val="2"/>
          </rPr>
          <t xml:space="preserve"> depdate</t>
        </r>
        <r>
          <rPr>
            <b/>
            <sz val="9"/>
            <color indexed="81"/>
            <rFont val="돋움"/>
            <family val="3"/>
            <charset val="129"/>
          </rPr>
          <t>에서는</t>
        </r>
        <r>
          <rPr>
            <b/>
            <sz val="9"/>
            <color indexed="81"/>
            <rFont val="Tahoma"/>
            <family val="2"/>
          </rPr>
          <t xml:space="preserve"> 2017</t>
        </r>
        <r>
          <rPr>
            <b/>
            <sz val="9"/>
            <color indexed="81"/>
            <rFont val="돋움"/>
            <family val="3"/>
            <charset val="129"/>
          </rPr>
          <t>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설정을하고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맨하단에서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출발자수를</t>
        </r>
        <r>
          <rPr>
            <b/>
            <sz val="9"/>
            <color indexed="81"/>
            <rFont val="Tahoma"/>
            <family val="2"/>
          </rPr>
          <t xml:space="preserve"> cnt</t>
        </r>
        <r>
          <rPr>
            <b/>
            <sz val="9"/>
            <color indexed="81"/>
            <rFont val="돋움"/>
            <family val="3"/>
            <charset val="129"/>
          </rPr>
          <t>로하여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가격과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상품가격을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불러오는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</t>
        </r>
      </text>
    </comment>
  </commentList>
</comments>
</file>

<file path=xl/comments7.xml><?xml version="1.0" encoding="utf-8"?>
<comments xmlns="http://schemas.openxmlformats.org/spreadsheetml/2006/main">
  <authors>
    <author>VGL_P17041</author>
  </authors>
  <commentList>
    <comment ref="W29" authorId="0" shapeId="0">
      <text>
        <r>
          <rPr>
            <b/>
            <sz val="9"/>
            <color indexed="81"/>
            <rFont val="돋움"/>
            <family val="3"/>
            <charset val="129"/>
          </rPr>
          <t>성별에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추이를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구하기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쿼리
</t>
        </r>
        <r>
          <rPr>
            <b/>
            <sz val="9"/>
            <color indexed="81"/>
            <rFont val="Tahoma"/>
            <family val="2"/>
          </rPr>
          <t xml:space="preserve">SELECT </t>
        </r>
        <r>
          <rPr>
            <b/>
            <sz val="9"/>
            <color indexed="81"/>
            <rFont val="돋움"/>
            <family val="3"/>
            <charset val="129"/>
          </rPr>
          <t>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출발자수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카운팅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상품가격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
그리고</t>
        </r>
        <r>
          <rPr>
            <b/>
            <sz val="9"/>
            <color indexed="81"/>
            <rFont val="Tahoma"/>
            <family val="2"/>
          </rPr>
          <t xml:space="preserve"> B.DEP_DATE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조정하고</t>
        </r>
        <r>
          <rPr>
            <b/>
            <sz val="9"/>
            <color indexed="81"/>
            <rFont val="Tahoma"/>
            <family val="2"/>
          </rPr>
          <t xml:space="preserve"> GROUPBY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성별과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상품가격을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묶어서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쿼리문</t>
        </r>
      </text>
    </comment>
  </commentList>
</comments>
</file>

<file path=xl/comments8.xml><?xml version="1.0" encoding="utf-8"?>
<comments xmlns="http://schemas.openxmlformats.org/spreadsheetml/2006/main">
  <authors>
    <author>VGL_P17041</author>
  </authors>
  <commentList>
    <comment ref="K29" authorId="0" shapeId="0">
      <text>
        <r>
          <rPr>
            <b/>
            <sz val="9"/>
            <color indexed="81"/>
            <rFont val="돋움"/>
            <family val="3"/>
            <charset val="129"/>
          </rPr>
          <t>선행예약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쿼리
</t>
        </r>
        <r>
          <rPr>
            <b/>
            <sz val="9"/>
            <color indexed="81"/>
            <rFont val="Tahoma"/>
            <family val="2"/>
          </rPr>
          <t xml:space="preserve">A.DEP_DATE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잡아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검색
</t>
        </r>
        <r>
          <rPr>
            <b/>
            <sz val="9"/>
            <color indexed="81"/>
            <rFont val="Tahoma"/>
            <family val="2"/>
          </rPr>
          <t xml:space="preserve">DATEDIFF(DAY, A.NEW_DATE, A.DEP_DATE) AS </t>
        </r>
        <r>
          <rPr>
            <b/>
            <sz val="9"/>
            <color indexed="81"/>
            <rFont val="돋움"/>
            <family val="3"/>
            <charset val="129"/>
          </rPr>
          <t>선행예약시점을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예약날짜와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출발날자의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구함</t>
        </r>
      </text>
    </comment>
  </commentList>
</comments>
</file>

<file path=xl/sharedStrings.xml><?xml version="1.0" encoding="utf-8"?>
<sst xmlns="http://schemas.openxmlformats.org/spreadsheetml/2006/main" count="2257" uniqueCount="1103">
  <si>
    <t>라오스</t>
  </si>
  <si>
    <t>라오스 노쇼핑</t>
  </si>
  <si>
    <t>라오스 에어텔</t>
  </si>
  <si>
    <t>라오스 자유여행</t>
  </si>
  <si>
    <t>라오스 특급호텔</t>
  </si>
  <si>
    <t>라오스. 미얀마</t>
  </si>
  <si>
    <t>라오스여행</t>
  </si>
  <si>
    <t>라오스패키지</t>
  </si>
  <si>
    <t>루앙프라방</t>
  </si>
  <si>
    <t>베트남 라오스</t>
  </si>
  <si>
    <t>부산출발 라오스</t>
  </si>
  <si>
    <t>비엔티엔</t>
  </si>
  <si>
    <t>2016년</t>
    <phoneticPr fontId="1" type="noConversion"/>
  </si>
  <si>
    <t>2017년</t>
    <phoneticPr fontId="1" type="noConversion"/>
  </si>
  <si>
    <t>라오스 완전일주</t>
  </si>
  <si>
    <t>개수</t>
    <phoneticPr fontId="1" type="noConversion"/>
  </si>
  <si>
    <t>라오스 지역</t>
    <phoneticPr fontId="1" type="noConversion"/>
  </si>
  <si>
    <t>구분</t>
    <phoneticPr fontId="1" type="noConversion"/>
  </si>
  <si>
    <t>2015년</t>
    <phoneticPr fontId="1" type="noConversion"/>
  </si>
  <si>
    <t>2016년</t>
    <phoneticPr fontId="1" type="noConversion"/>
  </si>
  <si>
    <t>2017년</t>
    <phoneticPr fontId="1" type="noConversion"/>
  </si>
  <si>
    <t>남성</t>
    <phoneticPr fontId="1" type="noConversion"/>
  </si>
  <si>
    <t>여성</t>
    <phoneticPr fontId="1" type="noConversion"/>
  </si>
  <si>
    <t>전체</t>
    <phoneticPr fontId="1" type="noConversion"/>
  </si>
  <si>
    <t>2015년</t>
    <phoneticPr fontId="1" type="noConversion"/>
  </si>
  <si>
    <t>성별</t>
  </si>
  <si>
    <t>연령대</t>
  </si>
  <si>
    <t>여행지역</t>
  </si>
  <si>
    <t>인원수</t>
  </si>
  <si>
    <t>F</t>
  </si>
  <si>
    <t>라오스</t>
    <phoneticPr fontId="1" type="noConversion"/>
  </si>
  <si>
    <t>M</t>
  </si>
  <si>
    <t>구분</t>
  </si>
  <si>
    <t>2015년</t>
  </si>
  <si>
    <t>2016년</t>
  </si>
  <si>
    <t>2017년</t>
  </si>
  <si>
    <t>20대</t>
    <phoneticPr fontId="1" type="noConversion"/>
  </si>
  <si>
    <t>남성</t>
  </si>
  <si>
    <t>여성</t>
  </si>
  <si>
    <t>30대</t>
  </si>
  <si>
    <t>40대</t>
  </si>
  <si>
    <t>50대</t>
  </si>
  <si>
    <t>60대</t>
  </si>
  <si>
    <t>70대</t>
    <phoneticPr fontId="1" type="noConversion"/>
  </si>
  <si>
    <t>20대</t>
  </si>
  <si>
    <t>30대</t>
    <phoneticPr fontId="1" type="noConversion"/>
  </si>
  <si>
    <t>40대</t>
    <phoneticPr fontId="1" type="noConversion"/>
  </si>
  <si>
    <t>가족</t>
  </si>
  <si>
    <t>친구</t>
  </si>
  <si>
    <t>연인(부부)</t>
    <phoneticPr fontId="1" type="noConversion"/>
  </si>
  <si>
    <t>1인</t>
    <phoneticPr fontId="1" type="noConversion"/>
  </si>
  <si>
    <t>단체</t>
    <phoneticPr fontId="1" type="noConversion"/>
  </si>
  <si>
    <t>기타</t>
    <phoneticPr fontId="1" type="noConversion"/>
  </si>
  <si>
    <t>라오스</t>
    <phoneticPr fontId="1" type="noConversion"/>
  </si>
  <si>
    <t>상품가격</t>
    <phoneticPr fontId="1" type="noConversion"/>
  </si>
  <si>
    <t>출발자수</t>
    <phoneticPr fontId="1" type="noConversion"/>
  </si>
  <si>
    <t>2016년</t>
    <phoneticPr fontId="1" type="noConversion"/>
  </si>
  <si>
    <t>상품가격</t>
    <phoneticPr fontId="1" type="noConversion"/>
  </si>
  <si>
    <t>출발자수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</si>
  <si>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</si>
  <si>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</si>
  <si>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</si>
  <si>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</t>
    <phoneticPr fontId="1" type="noConversion"/>
  </si>
  <si>
    <t>나이</t>
    <phoneticPr fontId="1" type="noConversion"/>
  </si>
  <si>
    <t>인원</t>
    <phoneticPr fontId="1" type="noConversion"/>
  </si>
  <si>
    <t>평균가격</t>
    <phoneticPr fontId="1" type="noConversion"/>
  </si>
  <si>
    <t>30대</t>
    <phoneticPr fontId="1" type="noConversion"/>
  </si>
  <si>
    <t>50대</t>
    <phoneticPr fontId="1" type="noConversion"/>
  </si>
  <si>
    <t>60대</t>
    <phoneticPr fontId="1" type="noConversion"/>
  </si>
  <si>
    <t>70대</t>
    <phoneticPr fontId="1" type="noConversion"/>
  </si>
  <si>
    <t>120만원 이상</t>
    <phoneticPr fontId="1" type="noConversion"/>
  </si>
  <si>
    <t>2017년(인원수)</t>
    <phoneticPr fontId="1" type="noConversion"/>
  </si>
  <si>
    <t>2017년(비율)</t>
    <phoneticPr fontId="1" type="noConversion"/>
  </si>
  <si>
    <t>라오스(비율)</t>
    <phoneticPr fontId="1" type="noConversion"/>
  </si>
  <si>
    <t>라오스(인원수)</t>
    <phoneticPr fontId="1" type="noConversion"/>
  </si>
  <si>
    <t>인원수</t>
    <phoneticPr fontId="1" type="noConversion"/>
  </si>
  <si>
    <t>비율</t>
    <phoneticPr fontId="1" type="noConversion"/>
  </si>
  <si>
    <t>그룹타입</t>
    <phoneticPr fontId="1" type="noConversion"/>
  </si>
  <si>
    <t>년도</t>
    <phoneticPr fontId="1" type="noConversion"/>
  </si>
  <si>
    <t>1인</t>
    <phoneticPr fontId="1" type="noConversion"/>
  </si>
  <si>
    <t>연인</t>
    <phoneticPr fontId="1" type="noConversion"/>
  </si>
  <si>
    <t>기타</t>
    <phoneticPr fontId="1" type="noConversion"/>
  </si>
  <si>
    <t>가족</t>
    <phoneticPr fontId="1" type="noConversion"/>
  </si>
  <si>
    <t>친구</t>
    <phoneticPr fontId="1" type="noConversion"/>
  </si>
  <si>
    <t>단체</t>
    <phoneticPr fontId="1" type="noConversion"/>
  </si>
  <si>
    <t>라오스 지역(비율)</t>
    <phoneticPr fontId="1" type="noConversion"/>
  </si>
  <si>
    <t>라오스 지역(인원)</t>
    <phoneticPr fontId="1" type="noConversion"/>
  </si>
  <si>
    <t>2015년여성</t>
    <phoneticPr fontId="1" type="noConversion"/>
  </si>
  <si>
    <t>2015년 남성</t>
    <phoneticPr fontId="1" type="noConversion"/>
  </si>
  <si>
    <t>2016년여성</t>
    <phoneticPr fontId="1" type="noConversion"/>
  </si>
  <si>
    <t>2016년남성</t>
    <phoneticPr fontId="1" type="noConversion"/>
  </si>
  <si>
    <t>2017년여성</t>
    <phoneticPr fontId="1" type="noConversion"/>
  </si>
  <si>
    <t>2017년남성</t>
    <phoneticPr fontId="1" type="noConversion"/>
  </si>
  <si>
    <t>GENDER</t>
  </si>
  <si>
    <t>출발자수</t>
  </si>
  <si>
    <t>SALE_PRICE</t>
  </si>
  <si>
    <t>2015년</t>
    <phoneticPr fontId="1" type="noConversion"/>
  </si>
  <si>
    <t>30만원 미만</t>
    <phoneticPr fontId="1" type="noConversion"/>
  </si>
  <si>
    <t>30~59만원</t>
    <phoneticPr fontId="1" type="noConversion"/>
  </si>
  <si>
    <t>60~89만원</t>
    <phoneticPr fontId="1" type="noConversion"/>
  </si>
  <si>
    <t>90~119만원</t>
    <phoneticPr fontId="1" type="noConversion"/>
  </si>
  <si>
    <t>120만원</t>
    <phoneticPr fontId="1" type="noConversion"/>
  </si>
  <si>
    <r>
      <t>0~29</t>
    </r>
    <r>
      <rPr>
        <sz val="10"/>
        <color rgb="FF000000"/>
        <rFont val="돋움"/>
        <family val="3"/>
        <charset val="129"/>
      </rPr>
      <t>만원</t>
    </r>
    <phoneticPr fontId="1" type="noConversion"/>
  </si>
  <si>
    <r>
      <t>30~59</t>
    </r>
    <r>
      <rPr>
        <sz val="10"/>
        <color rgb="FF000000"/>
        <rFont val="돋움"/>
        <family val="3"/>
        <charset val="129"/>
      </rPr>
      <t>만원</t>
    </r>
    <phoneticPr fontId="1" type="noConversion"/>
  </si>
  <si>
    <r>
      <t>60~89</t>
    </r>
    <r>
      <rPr>
        <sz val="10"/>
        <color rgb="FF000000"/>
        <rFont val="돋움"/>
        <family val="3"/>
        <charset val="129"/>
      </rPr>
      <t>만원</t>
    </r>
    <phoneticPr fontId="1" type="noConversion"/>
  </si>
  <si>
    <r>
      <t>90~119</t>
    </r>
    <r>
      <rPr>
        <sz val="10"/>
        <color rgb="FF000000"/>
        <rFont val="돋움"/>
        <family val="3"/>
        <charset val="129"/>
      </rPr>
      <t>만원</t>
    </r>
    <phoneticPr fontId="1" type="noConversion"/>
  </si>
  <si>
    <t>선행예약시점</t>
    <phoneticPr fontId="1" type="noConversion"/>
  </si>
  <si>
    <t>선행예약시점</t>
    <phoneticPr fontId="1" type="noConversion"/>
  </si>
  <si>
    <t>*선행예약 시점이란 쉽게 말해 출발하기전 몇일전에 예약을 하는지에 대한 시점</t>
    <phoneticPr fontId="1" type="noConversion"/>
  </si>
  <si>
    <t>0~14일전</t>
    <phoneticPr fontId="1" type="noConversion"/>
  </si>
  <si>
    <t>15~29일전</t>
    <phoneticPr fontId="1" type="noConversion"/>
  </si>
  <si>
    <t>30~49일전</t>
    <phoneticPr fontId="1" type="noConversion"/>
  </si>
  <si>
    <t>50~69일전</t>
    <phoneticPr fontId="1" type="noConversion"/>
  </si>
  <si>
    <t>70~99일전</t>
    <phoneticPr fontId="1" type="noConversion"/>
  </si>
  <si>
    <t>100~139일전</t>
    <phoneticPr fontId="1" type="noConversion"/>
  </si>
  <si>
    <t>140~179일전</t>
    <phoneticPr fontId="1" type="noConversion"/>
  </si>
  <si>
    <t>180일 이후</t>
    <phoneticPr fontId="1" type="noConversion"/>
  </si>
  <si>
    <t>라오스 선행예약시점(예약갯수)</t>
    <phoneticPr fontId="1" type="noConversion"/>
  </si>
  <si>
    <t>라오스 선행예약시점(비율%)</t>
    <phoneticPr fontId="1" type="noConversion"/>
  </si>
  <si>
    <t>라오스지역 막 정리되지 않은 데이터</t>
    <phoneticPr fontId="1" type="noConversion"/>
  </si>
  <si>
    <t>베트남지역 막 정리되지 않은 데이터</t>
    <phoneticPr fontId="1" type="noConversion"/>
  </si>
  <si>
    <t>베트남(비율)</t>
    <phoneticPr fontId="1" type="noConversion"/>
  </si>
  <si>
    <t>태국지역 막 정리되지 않은 데이터</t>
    <phoneticPr fontId="1" type="noConversion"/>
  </si>
  <si>
    <t>태국(비율)</t>
    <phoneticPr fontId="1" type="noConversion"/>
  </si>
  <si>
    <t>캄보디아지역 막 정리되지 않은 데이터</t>
    <phoneticPr fontId="1" type="noConversion"/>
  </si>
  <si>
    <t>THEN 'ALONE'</t>
  </si>
  <si>
    <t>THEN 'MEETING'</t>
  </si>
  <si>
    <t>캄보디아(비율)</t>
    <phoneticPr fontId="1" type="noConversion"/>
  </si>
  <si>
    <t>베트남</t>
    <phoneticPr fontId="1" type="noConversion"/>
  </si>
  <si>
    <t>태국</t>
    <phoneticPr fontId="1" type="noConversion"/>
  </si>
  <si>
    <t>캄보디아</t>
    <phoneticPr fontId="1" type="noConversion"/>
  </si>
  <si>
    <t>0~29만원</t>
    <phoneticPr fontId="1" type="noConversion"/>
  </si>
  <si>
    <t>30~59만원</t>
    <phoneticPr fontId="1" type="noConversion"/>
  </si>
  <si>
    <t>60~89만원</t>
    <phoneticPr fontId="1" type="noConversion"/>
  </si>
  <si>
    <t>90~119만원</t>
    <phoneticPr fontId="1" type="noConversion"/>
  </si>
  <si>
    <t>120만원 이상</t>
    <phoneticPr fontId="1" type="noConversion"/>
  </si>
  <si>
    <t>방비엥</t>
  </si>
  <si>
    <t>방콕 라오스</t>
  </si>
  <si>
    <t>베트남라오스</t>
  </si>
  <si>
    <t>블루라군</t>
  </si>
  <si>
    <t>라오스 항공권</t>
  </si>
  <si>
    <t>부산출발라오스</t>
  </si>
  <si>
    <t>라오스자유여행</t>
  </si>
  <si>
    <t>라오스가족여행</t>
  </si>
  <si>
    <t>라오스골프</t>
  </si>
  <si>
    <t>라오스 패키지</t>
  </si>
  <si>
    <t>라오스 루앙프라방</t>
  </si>
  <si>
    <t>라오스날씨</t>
  </si>
  <si>
    <t>팔라오</t>
  </si>
  <si>
    <t>라오스 골프</t>
  </si>
  <si>
    <t>라오라오</t>
  </si>
  <si>
    <t xml:space="preserve">라오스. </t>
  </si>
  <si>
    <t>라오스 미얀마</t>
  </si>
  <si>
    <t>라오스.</t>
  </si>
  <si>
    <t>미얀마 라오스</t>
  </si>
  <si>
    <t>부산 라오스</t>
  </si>
  <si>
    <t>라오스페키지</t>
  </si>
  <si>
    <t>라오스노쇼핑</t>
  </si>
  <si>
    <t>캄보디아 라오스</t>
  </si>
  <si>
    <t>라오스 호텔</t>
  </si>
  <si>
    <t>라오스 부산출발</t>
  </si>
  <si>
    <t>라오</t>
  </si>
  <si>
    <t>라오스 캄보디아</t>
  </si>
  <si>
    <t>라오스 자유</t>
  </si>
  <si>
    <t>라오스패키지여행</t>
  </si>
  <si>
    <t>비엔티안</t>
  </si>
  <si>
    <t>태국 라오스</t>
  </si>
  <si>
    <t>부산출발 방비엥</t>
  </si>
  <si>
    <t>미얀마라오스</t>
  </si>
  <si>
    <t>나 자연 그리고 라오스</t>
  </si>
  <si>
    <t>라오스 베트남</t>
  </si>
  <si>
    <t>라오스에어텔</t>
  </si>
  <si>
    <t>라오스미얀마</t>
  </si>
  <si>
    <t>라오스 여행</t>
  </si>
  <si>
    <t>동남아라오스</t>
  </si>
  <si>
    <t>라오라오리조트</t>
  </si>
  <si>
    <t>라오스루앙프라방</t>
  </si>
  <si>
    <t>라오스베트남</t>
  </si>
  <si>
    <t>라오스직항</t>
  </si>
  <si>
    <t xml:space="preserve">라오스3박5일  </t>
  </si>
  <si>
    <t>라오스항공권</t>
  </si>
  <si>
    <t>라오체</t>
  </si>
  <si>
    <t>나, 자연 그리고 라오스</t>
  </si>
  <si>
    <t>라오항공</t>
  </si>
  <si>
    <t>라오스6일</t>
  </si>
  <si>
    <t>라오스완전일주</t>
  </si>
  <si>
    <t>치앙마이 라오스</t>
  </si>
  <si>
    <t>라오스부산출발</t>
  </si>
  <si>
    <t>라오스 부산</t>
  </si>
  <si>
    <t>파라오</t>
  </si>
  <si>
    <t>라오스일주</t>
  </si>
  <si>
    <t>비엔티엔 방비엥</t>
  </si>
  <si>
    <t>치앙마이 라오스 미얀마</t>
  </si>
  <si>
    <t>라오스,</t>
  </si>
  <si>
    <t xml:space="preserve">미얀마 라오스 </t>
  </si>
  <si>
    <t>라오스골프 부영</t>
  </si>
  <si>
    <t>캄보디아라오스</t>
  </si>
  <si>
    <t>라오스노옵션</t>
  </si>
  <si>
    <t>태국라오스</t>
  </si>
  <si>
    <t>라오스 블루라군</t>
  </si>
  <si>
    <t>라오스캄보디아</t>
  </si>
  <si>
    <t>라오라오베이</t>
  </si>
  <si>
    <t>라오체리조트</t>
  </si>
  <si>
    <t>나,자연 그리고 라오스</t>
  </si>
  <si>
    <t>라오스 비엔티엔</t>
  </si>
  <si>
    <t>라오스3박5일</t>
  </si>
  <si>
    <t>라오스 3박5일</t>
  </si>
  <si>
    <t xml:space="preserve"> 라오스</t>
  </si>
  <si>
    <t>태국미얀마라오스</t>
  </si>
  <si>
    <t>라오스\</t>
  </si>
  <si>
    <t>라오스4박6일</t>
  </si>
  <si>
    <t>홈쇼핑 라오스</t>
  </si>
  <si>
    <t>라오스여행6일</t>
  </si>
  <si>
    <t>라오스후기</t>
  </si>
  <si>
    <t>팡라오</t>
  </si>
  <si>
    <t>라오으</t>
  </si>
  <si>
    <t>쾅시폭포</t>
  </si>
  <si>
    <t>라오체/제주리조트/감귤체험</t>
  </si>
  <si>
    <t>부산라오스</t>
  </si>
  <si>
    <t>라오스연계</t>
  </si>
  <si>
    <t>치앙마이 라오스 미얀마 부산출발</t>
  </si>
  <si>
    <t>노쇼핑 라오스</t>
  </si>
  <si>
    <t>APP0456라오스</t>
  </si>
  <si>
    <t>라오스 대한항공</t>
  </si>
  <si>
    <t>골프라오스</t>
  </si>
  <si>
    <t>라오스땡처리</t>
  </si>
  <si>
    <t>나자연그리고라오스</t>
  </si>
  <si>
    <t>라오스 4박6일</t>
  </si>
  <si>
    <t>라오스팩키지</t>
  </si>
  <si>
    <t>동남아 라오스</t>
  </si>
  <si>
    <t>라오스 5일</t>
  </si>
  <si>
    <t>부산출발  라오스</t>
  </si>
  <si>
    <t>라오스 노옵션</t>
  </si>
  <si>
    <t>라오스 꽝시</t>
  </si>
  <si>
    <t>라오스 미안마</t>
  </si>
  <si>
    <t>치앙마이 라오스 미안마</t>
  </si>
  <si>
    <t>라오스 방비엥</t>
  </si>
  <si>
    <t>라오스 트레킹</t>
  </si>
  <si>
    <t>라오스 패키지여행</t>
  </si>
  <si>
    <t>라오스 페키지</t>
  </si>
  <si>
    <t>라오스 허니문</t>
  </si>
  <si>
    <t>라오수</t>
  </si>
  <si>
    <t>라오스5일</t>
  </si>
  <si>
    <t>미안마 라오스</t>
  </si>
  <si>
    <t>라오스app0450</t>
  </si>
  <si>
    <t>라오스골프여행</t>
  </si>
  <si>
    <t>라오스 6일</t>
  </si>
  <si>
    <t xml:space="preserve">라오스 방비엥 </t>
  </si>
  <si>
    <t>라오스 방비엔</t>
  </si>
  <si>
    <t>라오스여행후기</t>
  </si>
  <si>
    <t>라오스여헹</t>
  </si>
  <si>
    <t>방비엥 루앙프라방</t>
  </si>
  <si>
    <t>라오스와베트남</t>
  </si>
  <si>
    <t>라오스 루앙</t>
  </si>
  <si>
    <t xml:space="preserve">베트남 캄보디아 라오스 </t>
  </si>
  <si>
    <t>자연 그리고 라오스</t>
  </si>
  <si>
    <t>부산에서라오스</t>
  </si>
  <si>
    <t>싱가폴&amp;라오스</t>
  </si>
  <si>
    <t xml:space="preserve">  라오스</t>
  </si>
  <si>
    <t>캄보디아 라오스 베트남</t>
  </si>
  <si>
    <t>라오스 폭포</t>
  </si>
  <si>
    <t>라오스 액티비티</t>
  </si>
  <si>
    <t>【활어회 전신마사지1시간 블루라군】 베트남 라오스_7일 [ 베트남항공/연합상품 ]</t>
    <phoneticPr fontId="1" type="noConversion"/>
  </si>
  <si>
    <t>치앙마이미얀마라오스</t>
  </si>
  <si>
    <t>f라오스</t>
  </si>
  <si>
    <t>라오스특가</t>
  </si>
  <si>
    <t>노쇼핑라오스</t>
  </si>
  <si>
    <t>라오스 꽝시폭포</t>
  </si>
  <si>
    <t>라오?</t>
  </si>
  <si>
    <t>아이슬란드 블루라군</t>
  </si>
  <si>
    <t>라오스페키지여행</t>
  </si>
  <si>
    <t>라오산</t>
  </si>
  <si>
    <t>라오스 국적기</t>
  </si>
  <si>
    <t>라오스 4박5일</t>
  </si>
  <si>
    <t>라오스   유미폭포</t>
  </si>
  <si>
    <t>라오스 3박</t>
  </si>
  <si>
    <t>라오스 블루라곤</t>
  </si>
  <si>
    <t>라오스르앙프라방</t>
  </si>
  <si>
    <t>라오스 비엔티엔 방비엥</t>
  </si>
  <si>
    <t>ㄹ라오스</t>
  </si>
  <si>
    <t>라오스 비엔티엔방비엥 루앙프라방</t>
  </si>
  <si>
    <t>인천출발 라오스</t>
  </si>
  <si>
    <t>라오스 비엥</t>
  </si>
  <si>
    <t>라오스,캄보디아</t>
  </si>
  <si>
    <t>라오스 세미패키지</t>
  </si>
  <si>
    <t>라오스&amp;#39;</t>
  </si>
  <si>
    <t>라오스 여행후기</t>
  </si>
  <si>
    <t>라오라</t>
  </si>
  <si>
    <t>라오스 출입국신고서</t>
  </si>
  <si>
    <t>라오스미얀먀</t>
  </si>
  <si>
    <t>라오스 푸켓</t>
  </si>
  <si>
    <t>라오스 3박 5일</t>
  </si>
  <si>
    <t>라오스&amp;김지형</t>
  </si>
  <si>
    <t>싱가폴 라오스</t>
  </si>
  <si>
    <t>라오스, 베트남</t>
  </si>
  <si>
    <t>라오스45일</t>
  </si>
  <si>
    <t>라오스,미얀마</t>
  </si>
  <si>
    <t>치앙마이라오스</t>
  </si>
  <si>
    <t>라오스. 미얀마 치앙마이</t>
  </si>
  <si>
    <t>라오스루앙프르방</t>
  </si>
  <si>
    <t>라오스10월1일출발</t>
  </si>
  <si>
    <t>나청춘 그리고 라오스</t>
  </si>
  <si>
    <t>라오스1339</t>
  </si>
  <si>
    <t>라오스골프부영</t>
  </si>
  <si>
    <t>라오스자유</t>
  </si>
  <si>
    <t>라오스골프투어</t>
  </si>
  <si>
    <t>베트남 라오스 여행</t>
  </si>
  <si>
    <t>라오스배트남</t>
  </si>
  <si>
    <t>라오스 진에어</t>
  </si>
  <si>
    <t>라오스비앤티엔 방비앵</t>
  </si>
  <si>
    <t>라오스비엔티엔</t>
  </si>
  <si>
    <t>하나투어라오스페키지</t>
  </si>
  <si>
    <t>라오스성지순례</t>
  </si>
  <si>
    <t>라오스 르왕</t>
  </si>
  <si>
    <t>라오스완전질주</t>
  </si>
  <si>
    <t>라오스광시폭포</t>
  </si>
  <si>
    <t>라오스의 수도</t>
  </si>
  <si>
    <t>라오스 사막</t>
  </si>
  <si>
    <t>라오스지도</t>
  </si>
  <si>
    <t>다낭루앙프라방</t>
  </si>
  <si>
    <t>라오스패케지</t>
  </si>
  <si>
    <t>라오스,캄보디아,베트남</t>
  </si>
  <si>
    <t>라오스 라오항공</t>
  </si>
  <si>
    <t>라오스핵심일주</t>
  </si>
  <si>
    <t>하롱베이-라오스</t>
  </si>
  <si>
    <t>라오스후기여행</t>
  </si>
  <si>
    <t>라오항공 라오스</t>
  </si>
  <si>
    <t>라오스ㆍ</t>
  </si>
  <si>
    <t>블루라군 전신마사지</t>
  </si>
  <si>
    <t>라오시마</t>
  </si>
  <si>
    <t>라오스 기후</t>
  </si>
  <si>
    <t>라오텔</t>
  </si>
  <si>
    <t>자연그리고라오스</t>
  </si>
  <si>
    <t>모두투어라오스여행</t>
  </si>
  <si>
    <t>3박4일 라오스</t>
  </si>
  <si>
    <t>미얀마 라오스 태국</t>
  </si>
  <si>
    <t>라오스 홈쇼핑</t>
  </si>
  <si>
    <t>미얀마,라오스</t>
  </si>
  <si>
    <t>방비엥&amp;#39;</t>
  </si>
  <si>
    <t>라오스3박4일</t>
  </si>
  <si>
    <t>베트남과 라오스</t>
  </si>
  <si>
    <t>교토나라오사카</t>
  </si>
  <si>
    <t>베트남라오스여행</t>
  </si>
  <si>
    <t>리젠트팡라오</t>
  </si>
  <si>
    <t>베트남라오스자유여행</t>
  </si>
  <si>
    <t>버스 라오스 관광</t>
  </si>
  <si>
    <t>보홀 팡라오</t>
  </si>
  <si>
    <t>블루라군포함라오스</t>
  </si>
  <si>
    <t>라오스우기</t>
  </si>
  <si>
    <t>비엔티엔 방비엥 루앙프라방</t>
  </si>
  <si>
    <t>사이판 라오라오</t>
  </si>
  <si>
    <t>라오스 배낭</t>
  </si>
  <si>
    <t>베트남 캄보디아 라오스상품</t>
  </si>
  <si>
    <t>쏠비치라오텔</t>
  </si>
  <si>
    <t>나, 자연 그리고 라오</t>
  </si>
  <si>
    <t>ㅇ라오스</t>
  </si>
  <si>
    <t>치앙마이  라오스   미얀마</t>
  </si>
  <si>
    <t>아닐라오</t>
  </si>
  <si>
    <t>라오에어라인</t>
  </si>
  <si>
    <t>청도 라오산</t>
  </si>
  <si>
    <t>자유 라오스</t>
  </si>
  <si>
    <t>라오스 짚라인</t>
  </si>
  <si>
    <t>치앙마이 미얀마 라오스</t>
  </si>
  <si>
    <t>라오스방비엥 비엔티엔관광</t>
  </si>
  <si>
    <t>치앙마이라오스미얀마</t>
  </si>
  <si>
    <t>진에어라오스가는비행기</t>
  </si>
  <si>
    <t>치앙마이미안마 라오스</t>
  </si>
  <si>
    <t>라오스이승우</t>
  </si>
  <si>
    <t>태국 라오스 미안마</t>
  </si>
  <si>
    <t>동남아골프.비엔티엔골프</t>
  </si>
  <si>
    <t>태국미안마라오스</t>
  </si>
  <si>
    <t>라오스  날씨</t>
  </si>
  <si>
    <t>하노이/라오스</t>
  </si>
  <si>
    <t>라오스나라</t>
  </si>
  <si>
    <t>하롱베이라오스</t>
  </si>
  <si>
    <t>라오이</t>
  </si>
  <si>
    <t>행사코드 또는 키워드를 입력해주세요.라오스</t>
  </si>
  <si>
    <t>그리고 라오스</t>
  </si>
  <si>
    <t xml:space="preserve"> 라오스 패키지</t>
  </si>
  <si>
    <t>[나, 자연 그리고 라오스] 비엔티엔   방비엥   1일 자유일정 6일</t>
  </si>
  <si>
    <t>라오스소금마을</t>
  </si>
  <si>
    <t>[나, 자연 그리고 라오스] 비엔티엔   방비엥 5일</t>
  </si>
  <si>
    <t>라오그</t>
  </si>
  <si>
    <t>[나, 자연 그리고 라오스] 비엔티엔   방비엥 5일_진에어</t>
  </si>
  <si>
    <t>중국 라오스</t>
  </si>
  <si>
    <t xml:space="preserve">[나,자연 그리고 라오스]비엔티엔 방비엥 </t>
  </si>
  <si>
    <t>뭉쳐야뜬다 라오스</t>
  </si>
  <si>
    <t>【전일4성급 / 블루라군 비경포함】베트남 라오스7일 [베트남항공/연합상품]</t>
  </si>
  <si>
    <t>블루라군포함</t>
  </si>
  <si>
    <t>12월 라오스</t>
  </si>
  <si>
    <t>라오스 추석</t>
  </si>
  <si>
    <t>12월1일라오스일정</t>
  </si>
  <si>
    <t>라오스4박6일패키지</t>
  </si>
  <si>
    <t>1월 29일 라오스</t>
  </si>
  <si>
    <t>라오스 태국</t>
  </si>
  <si>
    <t>2.20일라오스여행</t>
  </si>
  <si>
    <t>라오스 449000</t>
  </si>
  <si>
    <t>2017추석 라오스</t>
  </si>
  <si>
    <t>라오스트라이앵글</t>
  </si>
  <si>
    <t>2월18일 17:25 출발 라오스 4박6일</t>
  </si>
  <si>
    <t>노옵션 라오스</t>
  </si>
  <si>
    <t>4박6일 라오스</t>
  </si>
  <si>
    <t>비엔티엔 방비엔 루앙프라방노쇼핑</t>
  </si>
  <si>
    <t>4박6일라오스</t>
  </si>
  <si>
    <t>라오스0456</t>
  </si>
  <si>
    <t>7월라오스</t>
  </si>
  <si>
    <t>라오스  방비엥</t>
  </si>
  <si>
    <t>9월 밀라오 자유여행</t>
  </si>
  <si>
    <t>라오스북부지역여행</t>
  </si>
  <si>
    <t xml:space="preserve">가족여행라오스 </t>
  </si>
  <si>
    <t>라오스 24일 17시 55분</t>
  </si>
  <si>
    <t>국적기 라오스</t>
  </si>
  <si>
    <t>라오스  패키지</t>
  </si>
  <si>
    <t>국적기 라오스 연계</t>
  </si>
  <si>
    <t>라오스 4박6일 11월29일여행</t>
  </si>
  <si>
    <t>나,자연그리고 라오스</t>
  </si>
  <si>
    <t>라오스2박3일</t>
  </si>
  <si>
    <t>나그리고자연라오스</t>
  </si>
  <si>
    <t>라오카</t>
  </si>
  <si>
    <t>나라오사카교토</t>
  </si>
  <si>
    <t>라오스 일일투어</t>
  </si>
  <si>
    <t>노옵션라오스</t>
  </si>
  <si>
    <t>라오스 5월 기온</t>
  </si>
  <si>
    <t>노팁노옵션라오스</t>
  </si>
  <si>
    <t>라오app0457</t>
  </si>
  <si>
    <t>라오남인도  스리랑카</t>
  </si>
  <si>
    <t>라오스 날씨</t>
  </si>
  <si>
    <t>라오느</t>
  </si>
  <si>
    <t>라오스7월패키지</t>
  </si>
  <si>
    <t>라오스 이스타항공</t>
  </si>
  <si>
    <t>라오라오베이 골프</t>
  </si>
  <si>
    <t>라오라오베이 골프리조트</t>
  </si>
  <si>
    <t>라오스3박</t>
  </si>
  <si>
    <t>라오ㅅ</t>
  </si>
  <si>
    <t>베트남-라오스</t>
  </si>
  <si>
    <t>라오서</t>
  </si>
  <si>
    <t>라오스 루앙프르방</t>
  </si>
  <si>
    <t>라오까이</t>
  </si>
  <si>
    <t>라오스  베트낭</t>
  </si>
  <si>
    <t>라오스  부산</t>
  </si>
  <si>
    <t>라오스폭포</t>
  </si>
  <si>
    <t>라오스  패키즈</t>
  </si>
  <si>
    <t>라오스이승우가이드</t>
  </si>
  <si>
    <t>라오스 1이리 자유여행</t>
  </si>
  <si>
    <t>라오스여행패키지</t>
  </si>
  <si>
    <t>라오스 1일 자유여행</t>
  </si>
  <si>
    <t>라오스기차여행</t>
  </si>
  <si>
    <t>라오스 499,000</t>
  </si>
  <si>
    <t>라오스 자유여행스</t>
  </si>
  <si>
    <t>라오스 4박 6일</t>
  </si>
  <si>
    <t>라오스4박5일</t>
  </si>
  <si>
    <t>라오스 5박6일</t>
  </si>
  <si>
    <t>라오스 연계</t>
  </si>
  <si>
    <t>미얀마 태국 라오스</t>
  </si>
  <si>
    <t>라오스 7일</t>
  </si>
  <si>
    <t>라오스취소티컷</t>
  </si>
  <si>
    <t>라오스 APP0437</t>
  </si>
  <si>
    <t>부산 라오으</t>
  </si>
  <si>
    <t>라오스 tw135</t>
  </si>
  <si>
    <t>라오스루앙프라방직항</t>
  </si>
  <si>
    <t>라오스 골프여행</t>
  </si>
  <si>
    <t>베트남캄보디아라오스</t>
  </si>
  <si>
    <t>라오스 국외항공권</t>
  </si>
  <si>
    <t>라오스6박</t>
  </si>
  <si>
    <t>라오스 기차</t>
  </si>
  <si>
    <t>라오스 노쇼</t>
  </si>
  <si>
    <t>라오스 노쇼핑 노옵션</t>
  </si>
  <si>
    <t>라오스 땡처리</t>
  </si>
  <si>
    <t>라오스 연휴</t>
  </si>
  <si>
    <t>라오스 라오스오스</t>
  </si>
  <si>
    <t>라오스 라오스항공</t>
  </si>
  <si>
    <t>라오스 루랑프라방</t>
  </si>
  <si>
    <t>부산출발 라오스여행</t>
  </si>
  <si>
    <t>라오스 루앙프라장</t>
  </si>
  <si>
    <t xml:space="preserve">라오스6박8일 </t>
  </si>
  <si>
    <t>라오스 르앙프하방</t>
  </si>
  <si>
    <t>앙사나 라오락</t>
  </si>
  <si>
    <t>라오스 마얀마</t>
  </si>
  <si>
    <t>라오스방비엥</t>
  </si>
  <si>
    <t>라오스 물축제</t>
  </si>
  <si>
    <t>라오스 자유여행 유미폭포</t>
  </si>
  <si>
    <t>라오스 미얀마 치앙마이</t>
  </si>
  <si>
    <t>라오스 비엔티엔 방비앵 3박 5일</t>
  </si>
  <si>
    <t>라오스 미얀마 태국</t>
  </si>
  <si>
    <t>라오스감보디아</t>
  </si>
  <si>
    <t>라오스 바간</t>
  </si>
  <si>
    <t>라오스/미얀마</t>
  </si>
  <si>
    <t>라오스 방콕</t>
  </si>
  <si>
    <t>라오스수도</t>
  </si>
  <si>
    <t>추석라오스</t>
  </si>
  <si>
    <t>라오스 배낭여행</t>
  </si>
  <si>
    <t>블루라군 라오스</t>
  </si>
  <si>
    <t>라오스 버마</t>
  </si>
  <si>
    <t>라오스 아시아마</t>
  </si>
  <si>
    <t>라오스 베트남다낭</t>
  </si>
  <si>
    <t>라오스 가이드</t>
  </si>
  <si>
    <t>라오스 베트남다ㅏㅇ</t>
  </si>
  <si>
    <t>라오스페케이지</t>
  </si>
  <si>
    <t>라오스 베ㅡ남</t>
  </si>
  <si>
    <t>추석 라오스</t>
  </si>
  <si>
    <t>라오스 불루라군</t>
  </si>
  <si>
    <t>라오스호텔</t>
  </si>
  <si>
    <t>라오스 비</t>
  </si>
  <si>
    <t>라오스루앙푸르방</t>
  </si>
  <si>
    <t>라오스 비엔티안 방비엥</t>
  </si>
  <si>
    <t>라오스 비엔티엔 방비엥 루앙프라방</t>
  </si>
  <si>
    <t>비엔티엔/방비엥</t>
  </si>
  <si>
    <t>라오스 세미팩</t>
  </si>
  <si>
    <t>베트남라오스 캄보디아</t>
  </si>
  <si>
    <t>라오스 아코르와트</t>
  </si>
  <si>
    <t>라오스연행</t>
  </si>
  <si>
    <t>라오스 앙코르와트</t>
  </si>
  <si>
    <t>라오스 여름 날씨</t>
  </si>
  <si>
    <t>라오스휴양</t>
  </si>
  <si>
    <t>라오산1일투어</t>
  </si>
  <si>
    <t>라오스 완전일주상품</t>
  </si>
  <si>
    <t>부산출밯 라오스</t>
  </si>
  <si>
    <t>부산발 라오스</t>
  </si>
  <si>
    <t>라오스 자</t>
  </si>
  <si>
    <t>라오스 꽝씨폭포</t>
  </si>
  <si>
    <t>라오스 자유여행  게스트하우스</t>
  </si>
  <si>
    <t>라오스 신혼여행</t>
  </si>
  <si>
    <t>라오스 자유여행/항공권 호텔</t>
  </si>
  <si>
    <t>나 자연그리고라오스</t>
  </si>
  <si>
    <t>라오스 지도</t>
  </si>
  <si>
    <t>부산출발 패키지 라오스</t>
  </si>
  <si>
    <t>라오스 직항</t>
  </si>
  <si>
    <t>미얀마.라오스</t>
  </si>
  <si>
    <t>바깔라오</t>
  </si>
  <si>
    <t>라오스 진에어 457</t>
  </si>
  <si>
    <t>라오스팡시폭포</t>
  </si>
  <si>
    <t>라오스 출입국 신고서</t>
  </si>
  <si>
    <t>라오스 르앙프라방</t>
  </si>
  <si>
    <t>라오스 치앙마이 미얀마</t>
  </si>
  <si>
    <t>베트남 라오스 연합상품</t>
  </si>
  <si>
    <t>라오스 캄보디아패키지</t>
  </si>
  <si>
    <t>ㅅ라오스</t>
  </si>
  <si>
    <t>라오스fgkdhtm</t>
  </si>
  <si>
    <t>라오스 태국 미얀마</t>
  </si>
  <si>
    <t>치앙마이비엔티엔</t>
  </si>
  <si>
    <t>라오스 티웨이항공 2월15일 21시05분 출발</t>
  </si>
  <si>
    <t>라오스르왕프랑</t>
  </si>
  <si>
    <t>라오스 팩키지</t>
  </si>
  <si>
    <t>미얀마 블루라군</t>
  </si>
  <si>
    <t>라오스 페케이여행</t>
  </si>
  <si>
    <t>베트남 라오스 연ㄱ상품</t>
  </si>
  <si>
    <t>라오스 풍경 사진</t>
  </si>
  <si>
    <t>라오스사용가능화폐</t>
  </si>
  <si>
    <t>라오스 항공</t>
  </si>
  <si>
    <t>라오스연합상품</t>
  </si>
  <si>
    <t>라오스 항공권진에어</t>
  </si>
  <si>
    <t>라오스패기지</t>
  </si>
  <si>
    <t>라오스 항공제외</t>
  </si>
  <si>
    <t>라오스패키지.</t>
  </si>
  <si>
    <t>라오스 현지가이드</t>
  </si>
  <si>
    <t>무안공항출발라오스여행</t>
  </si>
  <si>
    <t>라오스 현지인가이드</t>
  </si>
  <si>
    <t>라오스 10월 기온</t>
  </si>
  <si>
    <t>라오스 후기</t>
  </si>
  <si>
    <t>라오스 비엔티엔/방비엥/루앙프라방 5일/6일</t>
  </si>
  <si>
    <t>라오스, 미얀마</t>
  </si>
  <si>
    <t>라오스 싱가폴</t>
  </si>
  <si>
    <t>라오스, 캄보디아 연계</t>
  </si>
  <si>
    <t>라오스 페케지</t>
  </si>
  <si>
    <t>라오스,스페인,포르투칼</t>
  </si>
  <si>
    <t>라오스 확정</t>
  </si>
  <si>
    <t>라오스. 미얀마.</t>
  </si>
  <si>
    <t>부산출발 동남아라오스</t>
  </si>
  <si>
    <t>라오스..</t>
  </si>
  <si>
    <t>행사코라오스드 또는 키워드를 입력해주세요.</t>
  </si>
  <si>
    <t>라오스.캄보디아</t>
  </si>
  <si>
    <t>라오스남부</t>
  </si>
  <si>
    <t>라오스10월24일출발</t>
  </si>
  <si>
    <t>라오스방비엥루앙프라방</t>
  </si>
  <si>
    <t>라오스10월28일</t>
  </si>
  <si>
    <t>루앙프라방-비엔티엔</t>
  </si>
  <si>
    <t>라오스30만미만</t>
  </si>
  <si>
    <t>베트남 라오스연계</t>
  </si>
  <si>
    <t>라오스3월23일부터</t>
  </si>
  <si>
    <t>. 라오스</t>
  </si>
  <si>
    <t>라오스3월23일부터3월27일까지페키지여행</t>
  </si>
  <si>
    <t>라오스 연합</t>
  </si>
  <si>
    <t>라오스3월23일출발일정표</t>
  </si>
  <si>
    <t>베트남 라오스 캄보디아</t>
  </si>
  <si>
    <t>라오스4</t>
  </si>
  <si>
    <t>라오스버마</t>
  </si>
  <si>
    <t>라오스4박</t>
  </si>
  <si>
    <t>비엔티엔방비엥</t>
  </si>
  <si>
    <t>라오스APP0457</t>
  </si>
  <si>
    <t>라오스 세미</t>
  </si>
  <si>
    <t>라오스http;//me2do/gyk6vt70</t>
  </si>
  <si>
    <t>라오스 아시아나</t>
  </si>
  <si>
    <t>라오스tw135 2월15일 21시05분인천발</t>
  </si>
  <si>
    <t>라오스 제주항공</t>
  </si>
  <si>
    <t>라오스가이드</t>
  </si>
  <si>
    <t>라오스골</t>
  </si>
  <si>
    <t>하롱베이 라오스</t>
  </si>
  <si>
    <t>라오스관광</t>
  </si>
  <si>
    <t>라오스국적기</t>
  </si>
  <si>
    <t>라오스 일일</t>
  </si>
  <si>
    <t>치앙마이치앙라이미얀마라오스</t>
  </si>
  <si>
    <t>태국 미얀마 라오스</t>
  </si>
  <si>
    <t>라오스돈</t>
  </si>
  <si>
    <t>라오스 페키지여행</t>
  </si>
  <si>
    <t>라오스땡처리여행</t>
  </si>
  <si>
    <t>라오스,하롱베이</t>
  </si>
  <si>
    <t>라오스루아프라방</t>
  </si>
  <si>
    <t>라오스대구출발</t>
  </si>
  <si>
    <t>라오스미안마</t>
  </si>
  <si>
    <t>라오스빡세</t>
  </si>
  <si>
    <t>라오스방비앙</t>
  </si>
  <si>
    <t>라오스의역사</t>
  </si>
  <si>
    <t>라오스배낭</t>
  </si>
  <si>
    <t>방비엥날씨</t>
  </si>
  <si>
    <t>라오스배낭여행</t>
  </si>
  <si>
    <t>베르사유 융프라오</t>
  </si>
  <si>
    <t>라오스베트남패키지</t>
  </si>
  <si>
    <t>루앙프라방호텔</t>
  </si>
  <si>
    <t>라오스비엔티엔 방비앵</t>
  </si>
  <si>
    <t>베트남,라오스,캄보디아</t>
  </si>
  <si>
    <t>라오스비자</t>
  </si>
  <si>
    <t>부난출발라오스</t>
  </si>
  <si>
    <t>라오스삼각지대</t>
  </si>
  <si>
    <t>비엔티안 방비엥 루앙프라방</t>
  </si>
  <si>
    <t>라오스ㅇ</t>
  </si>
  <si>
    <t>비엔티엔부영</t>
  </si>
  <si>
    <t>라오스여해ㅇ</t>
  </si>
  <si>
    <t>캄보디아,라오스2개국</t>
  </si>
  <si>
    <t>라오스여행 준비물</t>
  </si>
  <si>
    <t>팔라오스</t>
  </si>
  <si>
    <t>라오스여행준비물]</t>
  </si>
  <si>
    <t>라오스여행출발일</t>
  </si>
  <si>
    <t>라오스 팍세</t>
  </si>
  <si>
    <t>라오스 하룡베이</t>
  </si>
  <si>
    <t>라오스연합</t>
  </si>
  <si>
    <t>라오스 단체야행</t>
  </si>
  <si>
    <t>라오스영행가기좋은달</t>
  </si>
  <si>
    <t>라오스 비엔티안</t>
  </si>
  <si>
    <t>라오스옇애</t>
  </si>
  <si>
    <t>라오스 상품</t>
  </si>
  <si>
    <t>라오스오스</t>
  </si>
  <si>
    <t>라오스저가여행</t>
  </si>
  <si>
    <t>라오스와 미얀마</t>
  </si>
  <si>
    <t>라오스여행복장</t>
  </si>
  <si>
    <t>라오스와미얀마</t>
  </si>
  <si>
    <t>3월 라오스날씨</t>
  </si>
  <si>
    <t>라오스 3박4일</t>
  </si>
  <si>
    <t>라오스일기</t>
  </si>
  <si>
    <t>치아마이라오스미얀마</t>
  </si>
  <si>
    <t>치앙마이/미얀마/라오스/골든트라이앵글</t>
  </si>
  <si>
    <t>라오스자유여향</t>
  </si>
  <si>
    <t>라오스 자연이주는순수</t>
  </si>
  <si>
    <t>라오스장ㄷㄹ</t>
  </si>
  <si>
    <t>라오스여행 대구출발</t>
  </si>
  <si>
    <t>라오스치앙마이</t>
  </si>
  <si>
    <t>라오스이스타항공</t>
  </si>
  <si>
    <t>라오스투어여행</t>
  </si>
  <si>
    <t>베트남 라오스_7일</t>
  </si>
  <si>
    <t>라오스패기지여행</t>
  </si>
  <si>
    <t>베트남 라오스5박7일</t>
  </si>
  <si>
    <t>라오스패캐지</t>
  </si>
  <si>
    <t>부산출 라오스</t>
  </si>
  <si>
    <t>라오스패케지여행</t>
  </si>
  <si>
    <t>비엔티엔   방비엥   1일 자유일정 6일</t>
  </si>
  <si>
    <t>라오스페케지여행</t>
  </si>
  <si>
    <t>하오스라오스</t>
  </si>
  <si>
    <t>홈쇼핑방송라오스</t>
  </si>
  <si>
    <t>라오스호텔팩</t>
  </si>
  <si>
    <t>라오스 루왕</t>
  </si>
  <si>
    <t>라오스홍콩</t>
  </si>
  <si>
    <t>라오스환율</t>
  </si>
  <si>
    <t>라오스루아</t>
  </si>
  <si>
    <t>라오스후기담</t>
  </si>
  <si>
    <t>라오스 지유여행</t>
  </si>
  <si>
    <t>라오스ㅡ 월남</t>
  </si>
  <si>
    <t>라오스, 미안마,</t>
  </si>
  <si>
    <t>라오스ㆍㆍ치앙 마이</t>
  </si>
  <si>
    <t>라오스 5월 6일</t>
  </si>
  <si>
    <t>라오에어</t>
  </si>
  <si>
    <t>비엔티엔 방비엥 블루라군</t>
  </si>
  <si>
    <t>라오체리조ㅡ</t>
  </si>
  <si>
    <t>ㅣ라오스</t>
  </si>
  <si>
    <t>라오스힐링</t>
  </si>
  <si>
    <t>라오흐</t>
  </si>
  <si>
    <t>라오시마다카야츠</t>
  </si>
  <si>
    <t>라오ㅗ스</t>
  </si>
  <si>
    <t>라오ㅡ</t>
  </si>
  <si>
    <t>라오스미얀마치앙마이</t>
  </si>
  <si>
    <t>루앙프라방 왕복 국내선 이동</t>
  </si>
  <si>
    <t>라오스바엔티엔</t>
  </si>
  <si>
    <t>루앙프라방 인</t>
  </si>
  <si>
    <t>라오스전문</t>
  </si>
  <si>
    <t>루앙프라방5</t>
  </si>
  <si>
    <t>라오스출입국작성법</t>
  </si>
  <si>
    <t>마얀마.라오스</t>
  </si>
  <si>
    <t>마이라오</t>
  </si>
  <si>
    <t>베트남 라오스 연계상품</t>
  </si>
  <si>
    <t>마이라오홈</t>
  </si>
  <si>
    <t>라오스 액티</t>
  </si>
  <si>
    <t>미안마 라오스 차잉마이 여행</t>
  </si>
  <si>
    <t>라오스 패케지</t>
  </si>
  <si>
    <t>미안마,라오스</t>
  </si>
  <si>
    <t>미안마라오스</t>
  </si>
  <si>
    <t>라오스 12월 28일</t>
  </si>
  <si>
    <t>미얀마   라오스</t>
  </si>
  <si>
    <t>라오스 루앙프라앙</t>
  </si>
  <si>
    <t>미얀마  바간   라오스  비엔티엔</t>
  </si>
  <si>
    <t>라오스 르앙</t>
  </si>
  <si>
    <t>미얀마  바간   라오스비엔티엔</t>
  </si>
  <si>
    <t>라오스  전세기</t>
  </si>
  <si>
    <t>미얀마 라오스 골든트라이</t>
  </si>
  <si>
    <t>라오스 3박 4일</t>
  </si>
  <si>
    <t>미얀마 라오스 치앙마이</t>
  </si>
  <si>
    <t>라오스10월날씨</t>
  </si>
  <si>
    <t>미얀마 라오스여행</t>
  </si>
  <si>
    <t>라오스1월31일 출발확정패키지</t>
  </si>
  <si>
    <t>미얀마 라오스연계</t>
  </si>
  <si>
    <t>라오스경비</t>
  </si>
  <si>
    <t>미얀마라오스패키지</t>
  </si>
  <si>
    <t>라오스사코드 또는 키워드를 입력해주세요.</t>
  </si>
  <si>
    <t>미얀마와라오스</t>
  </si>
  <si>
    <t>미얀마ㆍㆍ라오스</t>
  </si>
  <si>
    <t>라오스 프라방</t>
  </si>
  <si>
    <t>바칼라오</t>
  </si>
  <si>
    <t>라오스 app 0457</t>
  </si>
  <si>
    <t>라오스폰피엥</t>
  </si>
  <si>
    <t>방비엥 자유여행</t>
  </si>
  <si>
    <t>라오ㅛㅡ</t>
  </si>
  <si>
    <t>방비엥 호텔</t>
  </si>
  <si>
    <t>부산출발방비엥</t>
  </si>
  <si>
    <t>방콕 비엔티안</t>
  </si>
  <si>
    <t>융푸라오</t>
  </si>
  <si>
    <t>배트남  라오스  연계</t>
  </si>
  <si>
    <t>행사코드 또라는 키워드를 입력해라오스주세요.</t>
  </si>
  <si>
    <t>배트남 라오스</t>
  </si>
  <si>
    <t>치앙마이라오스골든트라이앵글</t>
  </si>
  <si>
    <t>배트남,라오스</t>
  </si>
  <si>
    <t>코라오</t>
  </si>
  <si>
    <t>배트남과라오스</t>
  </si>
  <si>
    <t>하노이 라오스</t>
  </si>
  <si>
    <t>버마 라오스</t>
  </si>
  <si>
    <t>라오스 베트남연계</t>
  </si>
  <si>
    <t>버트남 라오스</t>
  </si>
  <si>
    <t>라오스 2박3일</t>
  </si>
  <si>
    <t>베트남  라오스</t>
  </si>
  <si>
    <t>라오스app0456</t>
  </si>
  <si>
    <t>베트남 라오수</t>
  </si>
  <si>
    <t>망길라오 골프</t>
  </si>
  <si>
    <t>라오스 카약</t>
  </si>
  <si>
    <t>베트남 라오스_7일/오후</t>
  </si>
  <si>
    <t>라오스 페키지  자유여행</t>
  </si>
  <si>
    <t>베트남 라오스연게상품</t>
  </si>
  <si>
    <t>라오스. 미얀마연계상품</t>
  </si>
  <si>
    <t>라오스2월9일</t>
  </si>
  <si>
    <t>베트남 캄보디아 라오스 영계</t>
  </si>
  <si>
    <t>라오스456</t>
  </si>
  <si>
    <t>베트남, 라오스</t>
  </si>
  <si>
    <t>베트남/라오스</t>
  </si>
  <si>
    <t>라오스 말레이시아</t>
  </si>
  <si>
    <t>베트남라오스7일</t>
  </si>
  <si>
    <t>라오스자연이주는순수</t>
  </si>
  <si>
    <t>베트남라오스연계</t>
  </si>
  <si>
    <t>라오스-자연이주는순수</t>
  </si>
  <si>
    <t>베트남라오스연계상품</t>
  </si>
  <si>
    <t>라오스항공</t>
  </si>
  <si>
    <t>블루라군 온천</t>
  </si>
  <si>
    <t>보라카이 블루라군</t>
  </si>
  <si>
    <t>비엔티엔/방비엥/루앙프라방</t>
  </si>
  <si>
    <t>보홀 빵라오</t>
  </si>
  <si>
    <t>세부팡라오</t>
  </si>
  <si>
    <t>치앙마이,라오스</t>
  </si>
  <si>
    <t>부산 출발 라오스</t>
  </si>
  <si>
    <t>태국,라오스코스</t>
  </si>
  <si>
    <t>비엔티엔혼티프라자호텔</t>
  </si>
  <si>
    <t>부산출발 미얀마라오스</t>
  </si>
  <si>
    <t>페케지속 자유여행 라오스</t>
  </si>
  <si>
    <t>부산출발 치앙마이 라오스 미얀마</t>
  </si>
  <si>
    <t>행사코드 라오스또는 키워드를 입력해주세요.</t>
  </si>
  <si>
    <t>블루라군 전신마사즈</t>
  </si>
  <si>
    <t>라오스일주상품</t>
  </si>
  <si>
    <t>블루라군 전신마사지 1시간</t>
  </si>
  <si>
    <t>블루라군 전신마사지1회</t>
  </si>
  <si>
    <t>블루라군 포함</t>
  </si>
  <si>
    <t>라오스. 미얀ㅡ마.</t>
  </si>
  <si>
    <t>비엔타엔 방비엥6일</t>
  </si>
  <si>
    <t>라오스 4일</t>
  </si>
  <si>
    <t>비엔티안 방비엔</t>
  </si>
  <si>
    <t>라오스 라오</t>
  </si>
  <si>
    <t>비엔티안 방비엥</t>
  </si>
  <si>
    <t>라오스 환전</t>
  </si>
  <si>
    <t>비엔티안 호텔</t>
  </si>
  <si>
    <t>라오스ㅜ</t>
  </si>
  <si>
    <t>비엔티안]</t>
  </si>
  <si>
    <t>라오우스</t>
  </si>
  <si>
    <t>비엔티엔   방비엥   루앙프라방</t>
  </si>
  <si>
    <t>미얀마  라오스</t>
  </si>
  <si>
    <t>비엔티엔   방비엥 5일_진에어</t>
  </si>
  <si>
    <t>방콕라오스</t>
  </si>
  <si>
    <t>비엔티엔 방비엔</t>
  </si>
  <si>
    <t>비엔티엔 방비엥 루앙프라방 6일 상품</t>
  </si>
  <si>
    <t>연휴 라오스</t>
  </si>
  <si>
    <t>비엔티엔 방비엥6일_티웨이항공</t>
  </si>
  <si>
    <t>치앙마이라오스미얀마여행</t>
  </si>
  <si>
    <t>비엔티엔 자유여행</t>
  </si>
  <si>
    <t>하롱베이 방비엥</t>
  </si>
  <si>
    <t>행사코드 또는 키워드를 입력라오스해주세요.</t>
  </si>
  <si>
    <t>빌라오</t>
  </si>
  <si>
    <t>대구 라오스</t>
  </si>
  <si>
    <t>사이판 라오라오베이</t>
  </si>
  <si>
    <t>라오스  심가이드</t>
  </si>
  <si>
    <t>사이판라오라오베이</t>
  </si>
  <si>
    <t>사이판라오라오베이리조트</t>
  </si>
  <si>
    <t>라오스 비엔티엔 루앙프라방</t>
  </si>
  <si>
    <t>상품코드0450라오스</t>
  </si>
  <si>
    <t>라오스 심린가이드</t>
  </si>
  <si>
    <t>센타라랏프라오</t>
  </si>
  <si>
    <t>라오스 골프 패키지</t>
  </si>
  <si>
    <t>솔비치라오텔</t>
  </si>
  <si>
    <t>베트스 캄보디아남 라오</t>
  </si>
  <si>
    <t>슬링핑라오스기차</t>
  </si>
  <si>
    <t>비엔티엔 방비엥 두앙프라방</t>
  </si>
  <si>
    <t>쏙쏙!블루라군</t>
  </si>
  <si>
    <t>비엔티엔&amp;방비엥&amp;루앙푸라방</t>
  </si>
  <si>
    <t>아시아나라오스</t>
  </si>
  <si>
    <t>치앙마이미얀마라오스골든트라이앵글</t>
  </si>
  <si>
    <t>아이슬란드블루라군</t>
  </si>
  <si>
    <t>태국,라오스(트라이앵글)</t>
  </si>
  <si>
    <t>여행후기라오스</t>
  </si>
  <si>
    <t>라오스자유투어</t>
  </si>
  <si>
    <t>라오스트래맹글</t>
  </si>
  <si>
    <t>전일정일급호텔 융푸라오</t>
  </si>
  <si>
    <t>라오ㅡ스</t>
  </si>
  <si>
    <t>중국라오스</t>
  </si>
  <si>
    <t>루앙프라방추천호텔</t>
  </si>
  <si>
    <t>참좋은여행/부산출발/동남아/라오스 미안마/상품코드APP990</t>
  </si>
  <si>
    <t>라오스ㅕ</t>
  </si>
  <si>
    <t>참좋은여행의라오스</t>
  </si>
  <si>
    <t>라오스여행38932709</t>
  </si>
  <si>
    <t>치앙 마이, 라오스, 미안마,</t>
  </si>
  <si>
    <t>치앙라이라오스미얀마 트라이앵글</t>
  </si>
  <si>
    <t>치앙마이, 라오스</t>
  </si>
  <si>
    <t>필라오</t>
  </si>
  <si>
    <t>치앙마이/미안마/라오스</t>
  </si>
  <si>
    <t>베트남 라오스 5박7일 여행</t>
  </si>
  <si>
    <t>베트남 캄보디아 라오스여행</t>
  </si>
  <si>
    <t>라오스오전출발</t>
  </si>
  <si>
    <t>캄보디아  라오스</t>
  </si>
  <si>
    <t>캄보디아 라오스 미얀마</t>
  </si>
  <si>
    <t>라오스 패키지 여행</t>
  </si>
  <si>
    <t>캄보디아 라오스 태국</t>
  </si>
  <si>
    <t>라오스3박5일 9일 출발</t>
  </si>
  <si>
    <t>캄보디아 방비엥</t>
  </si>
  <si>
    <t>라오스대한항공</t>
  </si>
  <si>
    <t>캄보디아,라오스</t>
  </si>
  <si>
    <t>라오스렌트카</t>
  </si>
  <si>
    <t>캄보디아.라오스</t>
  </si>
  <si>
    <t>라오스여행땡처리</t>
  </si>
  <si>
    <t>라오스 여행땡처리</t>
  </si>
  <si>
    <t>캄보디아라오스베트남삼각지대</t>
  </si>
  <si>
    <t>5월연휴  라오스여행</t>
  </si>
  <si>
    <t>캄보디아라오스삼각지대</t>
  </si>
  <si>
    <t>나, 자연 그리고 라오스 5일/6일</t>
  </si>
  <si>
    <t>태국 베트남 라오스</t>
  </si>
  <si>
    <t>라오스-</t>
  </si>
  <si>
    <t>라오스 3월10출발</t>
  </si>
  <si>
    <t>태국라오스미얀마 트라이앵글</t>
  </si>
  <si>
    <t>라오스 노</t>
  </si>
  <si>
    <t>라오스 대구</t>
  </si>
  <si>
    <t>파타야 라오스</t>
  </si>
  <si>
    <t>라오스 대한하공</t>
  </si>
  <si>
    <t>판루앙프라방</t>
  </si>
  <si>
    <t>라오스11월낤ㅅ</t>
  </si>
  <si>
    <t>팔 라오</t>
  </si>
  <si>
    <t>라오스ㅓ</t>
  </si>
  <si>
    <t>패키지 라오스</t>
  </si>
  <si>
    <t>[나, 자연 그리고 라오스] 비엔티엔   방비엥   루앙프라방 5일_티웨이항공</t>
  </si>
  <si>
    <t>필리핀 아닐라오</t>
  </si>
  <si>
    <t>라오스페기지</t>
  </si>
  <si>
    <t>필리핀라오스</t>
  </si>
  <si>
    <t>미얀마/라오스</t>
  </si>
  <si>
    <t>ㅎ라오스</t>
  </si>
  <si>
    <t>라오스 루앙프라빙</t>
  </si>
  <si>
    <t>라오스 여행 후기</t>
  </si>
  <si>
    <t>하노이라오스</t>
  </si>
  <si>
    <t>라오스 항공권대한항공</t>
  </si>
  <si>
    <t>하롱배이 라오스</t>
  </si>
  <si>
    <t>라오스3박ㄴ일</t>
  </si>
  <si>
    <t>하롱배이와 라오스</t>
  </si>
  <si>
    <t>비엔티엔루앙프라방</t>
  </si>
  <si>
    <t>행사라오스코드 또는 키워드를 입력해주세요.</t>
  </si>
  <si>
    <t>행사코드 또는 라오스키워드를 입력해주세요.</t>
  </si>
  <si>
    <t>여행박사 라오스</t>
  </si>
  <si>
    <t>행사코드 또는 키라오워드를 입력해라오스주세요.</t>
  </si>
  <si>
    <t>허난성 라오쥔산</t>
  </si>
  <si>
    <t>루앙프라방 4박6일</t>
  </si>
  <si>
    <t>홍콩 캄보디아 라오스</t>
  </si>
  <si>
    <t>ㅡ미얀마 라오스</t>
  </si>
  <si>
    <t>태국과라오스와미얀마가만나는트라이앵글</t>
  </si>
  <si>
    <t>팔라오ㅘㄴ</t>
  </si>
  <si>
    <t>팡라오리조트</t>
  </si>
  <si>
    <t>하롱베이,라오스,캄보디아</t>
  </si>
  <si>
    <t>세부팡라오리조트</t>
  </si>
  <si>
    <t>치앙마이라오스 미얀마</t>
  </si>
  <si>
    <t>라오스 꽃청춘</t>
  </si>
  <si>
    <t>라오스패</t>
  </si>
  <si>
    <t>뭉쳐야뜬다라오스</t>
  </si>
  <si>
    <t>미얀마, 라오스</t>
  </si>
  <si>
    <t>베트남 라오스7일</t>
  </si>
  <si>
    <t>라오스 오전출발</t>
  </si>
  <si>
    <t>라오스 특급</t>
  </si>
  <si>
    <t>라오스10월 날씨</t>
  </si>
  <si>
    <t>라오스11월여행</t>
  </si>
  <si>
    <t>라오니</t>
  </si>
  <si>
    <t>,라오스 비엔티엔 방비앵</t>
  </si>
  <si>
    <t>나 청춘그리고 라오스</t>
  </si>
  <si>
    <t>행사코드 또는 키워드라오스를 입력해주세요.</t>
  </si>
  <si>
    <t>라오스루앙프리방</t>
  </si>
  <si>
    <t>라오스비행시간</t>
  </si>
  <si>
    <t>라오스일정</t>
  </si>
  <si>
    <t>라오스출입국신고서작성법</t>
  </si>
  <si>
    <t>라오스 꽝폭포</t>
  </si>
  <si>
    <t>골프 라오스</t>
  </si>
  <si>
    <t>나 자연 그리로 라오스</t>
  </si>
  <si>
    <t>나자연라오스</t>
  </si>
  <si>
    <t>라오스 비엔</t>
  </si>
  <si>
    <t>라오스 자유일정</t>
  </si>
  <si>
    <t>라오스태국</t>
  </si>
  <si>
    <t>라오시 10월 3일 출발</t>
  </si>
  <si>
    <t xml:space="preserve">루앙프라방부산출발 </t>
  </si>
  <si>
    <t>베트남  감보디아 라오스</t>
  </si>
  <si>
    <t>여행박사라오스</t>
  </si>
  <si>
    <t>나,청춘 그리고 라오스</t>
  </si>
  <si>
    <t>라오스 부산츨발</t>
  </si>
  <si>
    <t>서울출발 라오스</t>
  </si>
  <si>
    <t>페키지라오스여행</t>
  </si>
  <si>
    <t>행사코드 또는 키워드라오스ㄹㄹ를 입력해주세요.</t>
  </si>
  <si>
    <t>라오스여행시복장</t>
  </si>
  <si>
    <t>라오스여행시옷</t>
  </si>
  <si>
    <t>라오스일정표</t>
  </si>
  <si>
    <t>라오스패키지리스트</t>
  </si>
  <si>
    <t>라오스KE</t>
  </si>
  <si>
    <t>루앙프라방ㄷ</t>
  </si>
  <si>
    <t>방삐엥 블루라군</t>
  </si>
  <si>
    <t>부산출바라오스</t>
  </si>
  <si>
    <t>라오스 자연</t>
  </si>
  <si>
    <t>라오스 준특급</t>
  </si>
  <si>
    <t>라오스 티웨이항공</t>
  </si>
  <si>
    <t>라오스, 루앙프라방</t>
  </si>
  <si>
    <t>라오스자연</t>
  </si>
  <si>
    <t>라오스 루아트라방</t>
  </si>
  <si>
    <t>■ 블루라군   전신마사지1시간 포함 ■ 라오스 비엔티엔   방비엥 5일_티웨이항공</t>
  </si>
  <si>
    <t>라오스 2박</t>
  </si>
  <si>
    <t>라오슻</t>
  </si>
  <si>
    <t>방비엥 당일</t>
  </si>
  <si>
    <t>방비엥 블루라군</t>
  </si>
  <si>
    <t>베트남 라오스 _7일</t>
  </si>
  <si>
    <t>태국 치앙마이 라오스 치앙라이</t>
  </si>
  <si>
    <t>티웨이 라오스</t>
  </si>
  <si>
    <t>RP1705239513 [나, 자연 그리고 라오스] 비엔티엔   방비엥   루앙프라방 5일</t>
  </si>
  <si>
    <t>라오스클럽매드상품</t>
  </si>
  <si>
    <t>라오스 르왕프라방</t>
  </si>
  <si>
    <t>라오스 미얀마 캄보디아</t>
  </si>
  <si>
    <t>라오스 티웨이</t>
  </si>
  <si>
    <t>라오스행사코드 또는 키워드를 입력해주세요.</t>
  </si>
  <si>
    <t>로즈 우드 루앙 프라방 라오스</t>
  </si>
  <si>
    <t>부산출발라오스자유여행</t>
  </si>
  <si>
    <t>부안출발 라오스</t>
  </si>
  <si>
    <t>코스모호텔 비엔티안</t>
  </si>
  <si>
    <t>라오스전세기</t>
  </si>
  <si>
    <t>라오스취소티켓</t>
  </si>
  <si>
    <t>라오카이</t>
  </si>
  <si>
    <t>베트남,라오스,캄보디아패키지</t>
  </si>
  <si>
    <t>구정연휴 라오스</t>
  </si>
  <si>
    <t>라오스 가족여행</t>
  </si>
  <si>
    <t>라오스 국저기</t>
  </si>
  <si>
    <t>라오스7박8일</t>
  </si>
  <si>
    <t>라오스소금</t>
  </si>
  <si>
    <t>라오스스</t>
  </si>
  <si>
    <t>핑라오</t>
  </si>
  <si>
    <t>라오스일주연합상품</t>
  </si>
  <si>
    <t>라오스]</t>
  </si>
  <si>
    <t>라오스단체여행</t>
  </si>
  <si>
    <t>두나라 탐방기 베트남 라오스 _7일</t>
  </si>
  <si>
    <t>라오디</t>
  </si>
  <si>
    <t>라오스 비엔티엔_방비엥 블루라군/전신마사지1시간 3박5일</t>
  </si>
  <si>
    <t>비엔티엔 으로 전화거는 방법</t>
  </si>
  <si>
    <t>에어텔라오스</t>
  </si>
  <si>
    <t>잉글랜드(코츠월드)/북.아일랜드/스코틀랜드 아이슬란드(골든서클/블루라군)</t>
  </si>
  <si>
    <t>추석연휴라오스</t>
  </si>
  <si>
    <t>태국트라이앵글과라오스와미얀마가만나는트라이앵글</t>
  </si>
  <si>
    <t>라오스11월  날씨</t>
  </si>
  <si>
    <t>라오스경유</t>
  </si>
  <si>
    <t>대만/스펀/지우펀/야류해상공원/고궁박물관/라오허제야시장</t>
  </si>
  <si>
    <t>라오스 4박6일 11월</t>
  </si>
  <si>
    <t>라오스여행3박5일</t>
  </si>
  <si>
    <t>부산발라오스</t>
  </si>
  <si>
    <t>[나, 자연 그리고 라오스] 비엔티엔   방비엥   루앙프라방 5일</t>
  </si>
  <si>
    <t>라오스 꽝씨</t>
  </si>
  <si>
    <t>라오스 사코드 또는 키워드를 입력해주세요.</t>
  </si>
  <si>
    <t>라오스 3박5입ㄴ</t>
  </si>
  <si>
    <t>라오스 자유여행ㅡ</t>
  </si>
  <si>
    <t>라오스, 미안마, 치앙마이</t>
  </si>
  <si>
    <t>라오스,태국</t>
  </si>
  <si>
    <t>라오스6월날씨</t>
  </si>
  <si>
    <t>라오스놋쇠와</t>
  </si>
  <si>
    <t>라오스특급</t>
  </si>
  <si>
    <t>라오스특급호텔</t>
  </si>
  <si>
    <t>베트남 라오스7박</t>
  </si>
  <si>
    <t>자유여행 라오스</t>
  </si>
  <si>
    <t>라오스출입국신고서</t>
  </si>
  <si>
    <t>6월 라오스 날씨</t>
  </si>
  <si>
    <t>라오스 봉사</t>
  </si>
  <si>
    <t>베트남 &amp;라오스 여행</t>
  </si>
  <si>
    <t>동남아시아 라오스</t>
  </si>
  <si>
    <t>라오스 상당</t>
  </si>
  <si>
    <t>라오스  미얀마</t>
  </si>
  <si>
    <t>라오스 4밀</t>
  </si>
  <si>
    <t>라오스 미얀마 연계</t>
  </si>
  <si>
    <t>라오스6월</t>
  </si>
  <si>
    <t>라오스페캐지</t>
  </si>
  <si>
    <t>라오스호텔추천</t>
  </si>
  <si>
    <t>라오스꽝시폭포</t>
  </si>
  <si>
    <t>라오스클럽메드</t>
  </si>
  <si>
    <t>라오스티웨이항공</t>
  </si>
  <si>
    <t>라오스노쇼ㅇ</t>
  </si>
  <si>
    <t>동남아 블루라군</t>
  </si>
  <si>
    <t>라오스 바엔티엔</t>
  </si>
  <si>
    <t>라오스 비방방</t>
  </si>
  <si>
    <t>라오스 하롱베이</t>
  </si>
  <si>
    <t>라오스왕복항공권</t>
  </si>
  <si>
    <t>라오스의폭포</t>
  </si>
  <si>
    <t>라오스페캐지여행</t>
  </si>
  <si>
    <t>라오스호텔코스모</t>
  </si>
  <si>
    <t>융프라오</t>
  </si>
  <si>
    <t>태국라오스캄보디아</t>
  </si>
  <si>
    <t>필리핀 팔라오</t>
  </si>
  <si>
    <t>비엔티엔 방비엔 루앙프라방</t>
  </si>
  <si>
    <t>라오스 ke</t>
  </si>
  <si>
    <t>3박5일라오스여행</t>
  </si>
  <si>
    <t>방비엥5일</t>
  </si>
  <si>
    <t>부산.방비엥</t>
  </si>
  <si>
    <t>블루라군 티웨이항공</t>
  </si>
  <si>
    <t>비엔티엔혼티프라자</t>
  </si>
  <si>
    <t>오클라오마</t>
  </si>
  <si>
    <t>라오스는어디</t>
  </si>
  <si>
    <t>라오스블루라군</t>
  </si>
  <si>
    <t>라오스여핼</t>
  </si>
  <si>
    <t>라오스 태국 여행상품</t>
  </si>
  <si>
    <t>라오스 5월</t>
  </si>
  <si>
    <t xml:space="preserve">SELECT KEYWORD, COUNT(*) AS 총갯수
FROM VGLOG..KEYWORD_LOG
WHERE(KEYWORD LIKE '%라오스%'
OR KEYWORD LIKE '%방비엥%'
OR KEYWORD LIKE '%블루라군%'
OR KEYWORD LIKE '%비엔티엔%'
OR KEYWORD LIKE '%루앙프라방%'
OR KEYWORD LIKE '%쾅시폭포%'
OR KEYWORD LIKE '%왓시사켓%'
OR KEYWORD LIKE '%탓루앙%'
OR KEYWORD LIKE '%라오%'
OR KEYWORD LIKE '%쏭강%'
OR KEYWORD LIKE '%비엔티안%')
AND NEW_DATE &gt;= '2016-01-01'
AND NEW_DATE &lt; '2017-01-01'
GROUP BY KEYWORD
ORDER BY COUNT(*) DESC
</t>
    <phoneticPr fontId="1" type="noConversion"/>
  </si>
  <si>
    <t>검색수</t>
    <phoneticPr fontId="1" type="noConversion"/>
  </si>
  <si>
    <t>검색어 쿼리</t>
    <phoneticPr fontId="1" type="noConversion"/>
  </si>
  <si>
    <t>성별에 따른 출발자수 쿼리</t>
    <phoneticPr fontId="1" type="noConversion"/>
  </si>
  <si>
    <t>라오스</t>
    <phoneticPr fontId="1" type="noConversion"/>
  </si>
  <si>
    <t>합계</t>
    <phoneticPr fontId="1" type="noConversion"/>
  </si>
  <si>
    <t>2017년</t>
    <phoneticPr fontId="1" type="noConversion"/>
  </si>
  <si>
    <t>캄보디아</t>
    <phoneticPr fontId="1" type="noConversion"/>
  </si>
  <si>
    <t>19,20대합계</t>
    <phoneticPr fontId="1" type="noConversion"/>
  </si>
  <si>
    <t>태국</t>
    <phoneticPr fontId="1" type="noConversion"/>
  </si>
  <si>
    <t>베트남</t>
    <phoneticPr fontId="1" type="noConversion"/>
  </si>
  <si>
    <t>여성</t>
    <phoneticPr fontId="1" type="noConversion"/>
  </si>
  <si>
    <t>남성</t>
    <phoneticPr fontId="1" type="noConversion"/>
  </si>
  <si>
    <t>구분</t>
    <phoneticPr fontId="1" type="noConversion"/>
  </si>
  <si>
    <t>베트남</t>
    <phoneticPr fontId="1" type="noConversion"/>
  </si>
  <si>
    <t>태국</t>
    <phoneticPr fontId="1" type="noConversion"/>
  </si>
  <si>
    <t>캄보디아</t>
    <phoneticPr fontId="1" type="noConversion"/>
  </si>
  <si>
    <t>라오스</t>
    <phoneticPr fontId="1" type="noConversion"/>
  </si>
  <si>
    <t>여성</t>
    <phoneticPr fontId="1" type="noConversion"/>
  </si>
  <si>
    <t>19,20대</t>
    <phoneticPr fontId="1" type="noConversion"/>
  </si>
  <si>
    <t>50대</t>
    <phoneticPr fontId="1" type="noConversion"/>
  </si>
  <si>
    <t>60대</t>
    <phoneticPr fontId="1" type="noConversion"/>
  </si>
  <si>
    <t>70대</t>
    <phoneticPr fontId="1" type="noConversion"/>
  </si>
  <si>
    <t>전체</t>
    <phoneticPr fontId="1" type="noConversion"/>
  </si>
  <si>
    <t>남성</t>
    <phoneticPr fontId="1" type="noConversion"/>
  </si>
  <si>
    <t>19,20대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</si>
  <si>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</si>
  <si>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</si>
  <si>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</si>
  <si>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</t>
    <phoneticPr fontId="1" type="noConversion"/>
  </si>
  <si>
    <t>70대</t>
    <phoneticPr fontId="1" type="noConversion"/>
  </si>
  <si>
    <t>전체</t>
    <phoneticPr fontId="1" type="noConversion"/>
  </si>
  <si>
    <t>성별에 따른 연령별 여행객수 쿼리</t>
    <phoneticPr fontId="1" type="noConversion"/>
  </si>
  <si>
    <t>성별에 따른 연령별 여행객수</t>
    <phoneticPr fontId="1" type="noConversion"/>
  </si>
  <si>
    <t>합계</t>
    <phoneticPr fontId="1" type="noConversion"/>
  </si>
  <si>
    <t>with list as (
SELECT
 P.*,
 (
  CASE           
   WHEN P.출발인원 = 1             THEN 'ALONE'
   WHEN P.출발인원 = 2 AND P.연령차 &lt;=2 AND (P.남성 = 2 OR P.여성 = 2) THEN 'FRIEND'
   WHEN P.예약팀내최저연령 &lt;= 12 OR P.연령차 &gt;= 20      THEN 'FAMILY'
   WHEN P.출발인원 % 2 = 0 AND P.출발인원 / 2 = P.남성     THEN 'COUPLE'
   WHEN P.출발인원 &gt;= 3             THEN 'MEETING'
   ELSE 'ETC'
  END
 ) AS [TOUR_TYPE]
FROM (
  SELECT           
   A2.MASTER_CODE,
   A2.PRO_CODE,
   A2.RES_CODE,
   MAX(A2.DEP_DATE) AS [DEP_DATE],    
   COUNT(*) AS [출발인원],
   MAX(A2.출발자나이) AS [예약팀최고연령],
   MIN(A2.출발자나이) AS [예약팀내최저연령],
   (MAX(A2.출발자나이) - MIN(A2.출발자나이)) AS [연령차],
   SUM(CASE WHEN A2.출발자성별 = 'F' THEN 1 ELSE 0 END) AS '여성',         
   SUM(CASE WHEN A2.출발자성별 = 'M' THEN 1 ELSE 0 END) AS '남성'        
  FROM (
   SELECT
   A.MASTER_CODE,     
         A.PRO_CODE,     
         A.RES_CODE,     
         A.GENDER AS [예약자성별],
         DATEDIFF(YEAR,A.BIRTH_DATE,A.DEP_DATE) + 1 AS [예약자나이],
         B.CUS_NO AS [출발자고객번호],
         DATEDIFF(YEAR,B.BIRTH_DATE,A.DEP_DATE) + 1 AS [출발자나이],
         B.GENDER AS [출발자성별],
         A.DEP_DATE
   FROM RES_CUSTOMER_DAMO B
   INNER JOIN RES_MASTER_DAMO A ON A.RES_CODE = B.RES_CODE
   INNER JOIN PKG_DETAIL C ON A.PRO_CODE = C.PRO_CODE
   INNER JOIN PRO_TRANS_SEAT D ON C.SEAT_CODE = D.SEAT_CODE
   LEFT JOIN PUB_AIRPORT E ON D.DEP_ARR_AIRPORT_CODE = E.AIRPORT_CODE  
   LEFT JOIN PUB_CITY F ON E.CITY_CODE = F.CITY_CODE 
   LEFT JOIN PUB_NATION G ON F.NATION_CODE = G.NATION_CODE 
   WHERE A.RES_STATE NOT IN ( 7,8,9 )
   AND A.PRO_TYPE = 1 -- 패키지 예약만 
   AND F.NATION_CODE = 'SG' 
   AND A.DEP_DATE &gt;= '2015-01-01 00:00:00'
   AND A.DEP_DATE &lt; '2018-01-01 00:00:00'
   AND B.BIRTH_DATE IS NOT NULL
  ) A2         
  GROUP BY         
   A2.MASTER_CODE,
   A2.PRO_CODE,        
   A2.RES_CODE
) P
)
select year(a.DEP_DATE), a.TOUR_TYPE, count(*)
from list a
group by grouping sets ((year(a.DEP_DATE), a.TOUR_TYPE)
 , year(a.dep_date)
 , ())
--order by year(a.dep_date), a.TOUR_TYPEwith list as (
SELECT
 P.*,
 (
  CASE           
   WHEN P.출발인원 = 1             THEN 'ALONE'
   WHEN P.출발인원 = 2 AND P.연령차 &lt;=2 AND (P.남성 = 2 OR P.여성 = 2) THEN 'FRIEND'
   WHEN P.예약팀내최저연령 &lt;= 12 OR P.연령차 &gt;= 20      THEN 'FAMILY'
   WHEN P.출발인원 % 2 = 0 AND P.출발인원 / 2 = P.남성     THEN 'COUPLE'
   WHEN P.출발인원 &gt;= 3             THEN 'MEETING'
   ELSE 'ETC'
  END
 ) AS [TOUR_TYPE]
FROM (
  SELECT           
   A2.MASTER_CODE,
   A2.PRO_CODE,
   A2.RES_CODE,
   MAX(A2.DEP_DATE) AS [DEP_DATE],    
   COUNT(*) AS [출발인원],
   MAX(A2.출발자나이) AS [예약팀최고연령],
   MIN(A2.출발자나이) AS [예약팀내최저연령],
   (MAX(A2.출발자나이) - MIN(A2.출발자나이)) AS [연령차],
   SUM(CASE WHEN A2.출발자성별 = 'F' THEN 1 ELSE 0 END) AS '여성',         
   SUM(CASE WHEN A2.출발자성별 = 'M' THEN 1 ELSE 0 END) AS '남성'        
  FROM (
   SELECT
   A.MASTER_CODE,     
         A.PRO_CODE,     
         A.RES_CODE,     
         A.GENDER AS [예약자성별],
         DATEDIFF(YEAR,A.BIRTH_DATE,A.DEP_DATE) + 1 AS [예약자나이],
         B.CUS_NO AS [출발자고객번호],
         DATEDIFF(YEAR,B.BIRTH_DATE,A.DEP_DATE) + 1 AS [출발자나이],
         B.GENDER AS [출발자성별],
         A.DEP_DATE
   FROM RES_CUSTOMER_DAMO B
   INNER JOIN RES_MASTER_DAMO A ON A.RES_CODE = B.RES_CODE
   INNER JOIN PKG_DETAIL C ON A.PRO_CODE = C.PRO_CODE
   INNER JOIN PRO_TRANS_SEAT D ON C.SEAT_CODE = D.SEAT_CODE
   LEFT JOIN PUB_AIRPORT E ON D.DEP_ARR_AIRPORT_CODE = E.AIRPORT_CODE  
   LEFT JOIN PUB_CITY F ON E.CITY_CODE = F.CITY_CODE 
   LEFT JOIN PUB_NATION G ON F.NATION_CODE = G.NATION_CODE 
   WHERE A.RES_STATE NOT IN ( 7,8,9 )
   AND A.PRO_TYPE = 1 -- 패키지 예약만 
   AND F.NATION_CODE = 'SG' 
   AND A.DEP_DATE &gt;= '2015-01-01 00:00:00'
   AND A.DEP_DATE &lt; '2018-01-01 00:00:00'
   AND B.BIRTH_DATE IS NOT NULL
  ) A2         
  GROUP BY         
   A2.MASTER_CODE,
   A2.PRO_CODE,        
   A2.RES_CODE
) P
)
select year(a.DEP_DATE), a.TOUR_TYPE, count(*)
from list a
group by grouping sets ((year(a.DEP_DATE), a.TOUR_TYPE)
 , year(a.dep_date)
 , ())
--order by year(a.dep_date), a.TOUR_TYPE</t>
    <phoneticPr fontId="1" type="noConversion"/>
  </si>
  <si>
    <t>그룹별 여행객 수 조회 쿼리</t>
    <phoneticPr fontId="1" type="noConversion"/>
  </si>
  <si>
    <t>상품 가격별 출발자수 조회 쿼리</t>
    <phoneticPr fontId="1" type="noConversion"/>
  </si>
  <si>
    <t>연령에 따른 상품선호가격 쿼리</t>
    <phoneticPr fontId="1" type="noConversion"/>
  </si>
  <si>
    <t>F</t>
    <phoneticPr fontId="1" type="noConversion"/>
  </si>
  <si>
    <t>30만원 미만</t>
  </si>
  <si>
    <t>30~59만원</t>
  </si>
  <si>
    <t>60~89만원</t>
  </si>
  <si>
    <t>90~119만원</t>
  </si>
  <si>
    <t>120만원</t>
  </si>
  <si>
    <t>성별 상품 이용 가격</t>
    <phoneticPr fontId="1" type="noConversion"/>
  </si>
  <si>
    <t>SELECT A.GENDER, COUNT(*) AS 출발자수, SALE_PRICE
FROM RES_CUSTOMER_DAMO A  -- 행사(상품) 
 INNER JOIN RES_MASTER_DAMO B  -- 예약건(예약자) 
  ON A.RES_CODE = B.RES_CODE
 INNER JOIN PKG_DETAIL C  -- 출발자 
  ON B.PRO_CODE = C.PRO_CODE
 INNER JOIN PRO_TRANS_SEAT D  --좌석정보 
  ON C.SEAT_CODE = D.SEAT_CODE
 -- 부가 정보는 LEFT JOIN 사용 
 LEFT JOIN PUB_AIRPORT E  -- 공항정보 
  ON D.DEP_ARR_AIRPORT_CODE = E.AIRPORT_CODE  
 LEFT JOIN PUB_CITY F  -- 도시정보
  ON E.CITY_CODE = F.CITY_CODE 
 LEFT JOIN PUB_NATION G  -- 국가정보
  ON F.NATION_CODE = G.NATION_CODE 
WHERE B.RES_STATE NOT IN ( 7,8,9 ) -- 정상인 예약건 ( 7,8,9=취소환불이동)
AND C.RES_STATE = 0 -- 정상인 출발자 
AND B.PRO_TYPE = 1 -- 패키지 예약만 
AND F.NATION_CODE = 'LA' 
AND B.DEP_DATE &gt;= '2015-01-01 00:00:00'
AND B.DEP_DATE &lt; '2016-01-01 00:00:00'
AND A.BIRTH_DATE IS NOT NULL
GROUP BY A.GENDER, A.SALE_PRICE
ORDER BY A.GENDER</t>
    <phoneticPr fontId="1" type="noConversion"/>
  </si>
  <si>
    <t>WITH LIST AS (
SELECT A.BIRTH_DATE,  COUNT(*) AS 출발자수, SALE_PRICE
FROM RES_CUSTOMER_DAMO A  -- 행사(상품) 
 INNER JOIN RES_MASTER_DAMO B  -- 예약건(예약자) 
  ON A.RES_CODE = B.RES_CODE
 INNER JOIN PKG_DETAIL C  -- 출발자 
  ON B.PRO_CODE = C.PRO_CODE
 INNER JOIN PRO_TRANS_SEAT D  --좌석정보 
  ON C.SEAT_CODE = D.SEAT_CODE 
 -- 부가 정보는 LEFT JOIN 사용 
 LEFT JOIN PUB_AIRPORT E  -- 공항정보 
  ON D.DEP_ARR_AIRPORT_CODE = E.AIRPORT_CODE  
 LEFT JOIN PUB_CITY F  -- 도시정보
  ON E.CITY_CODE = F.CITY_CODE 
 LEFT JOIN PUB_NATION G  -- 국가정보
  ON F.NATION_CODE = G.NATION_CODE 
WHERE B.RES_STATE NOT IN ( 7,8,9 ) -- 정상인 예약건 ( 7,8,9=취소환불이동)
AND C.RES_STATE = 0 -- 정상인 출발자 
AND B.PRO_TYPE = 1 -- 패키지 예약만 
AND F.NATION_CODE = 'LA' 
AND B.DEP_DATE &gt;= '2017-01-01 00:00:00'
AND B.DEP_DATE &lt; '2018-01-01 00:00:00'
AND A.BIRTH_DATE IS NOT NULL
AND SALE_PRICE &gt; '1'
GROUP BY a.BIRTH_DATE, SALE_PRICE
HAVING A.BIRTH_DATE &lt;= '1958-01-01'
AND A.BIRTH_DATE &gt; '1948-01-01'
) 
SELECT YEAR(BIRTH_DATE), SUM(출발자수) AS CNT, SALE_PRICE FROM LIST
GROUP BY YEAR(BIRTH_DATE), SALE_PRICE HAVING YEAR(BIRTH_DATE) &gt; 1938 AND YEAR(BIRTH_DATE) &lt;= 1948
ORDER BY YEAR(BIRTH_DATE)</t>
    <phoneticPr fontId="1" type="noConversion"/>
  </si>
  <si>
    <t>20대</t>
    <phoneticPr fontId="1" type="noConversion"/>
  </si>
  <si>
    <t>선행예약 시점을 구하기 위한 쿼리</t>
    <phoneticPr fontId="1" type="noConversion"/>
  </si>
  <si>
    <t xml:space="preserve">SELECT A.SALE_PRICE, COUNT(*) AS 출발자수  
FROM RES_CUSTOMER_DAMO A  -- 행사(상품)  
 INNER JOIN RES_MASTER_DAMO B  -- 예약건(예약자)  
  ON A.RES_CODE = B.RES_CODE
 INNER JOIN PKG_DETAIL C  -- 출발자  
  ON B.PRO_CODE = C.PRO_CODE
 INNER JOIN PRO_TRANS_SEAT D  --좌석정보  
  ON C.SEAT_CODE = D.SEAT_CODE
 LEFT JOIN PUB_AIRPORT E  -- 공항정보  
  ON D.DEP_ARR_AIRPORT_CODE = E.AIRPORT_CODE  
 LEFT JOIN PUB_CITY F  -- 도시정보 
  ON E.CITY_CODE = F.CITY_CODE 
 LEFT JOIN PUB_NATION G  -- 국가정보 
  ON F.NATION_CODE = G.NATION_CODE 
WHERE B.RES_STATE NOT IN ( 7,8,9 ) -- 정상인 예약건 ( 7,8,9=취소환불이동)  
AND B.PRO_TYPE = 1 -- 패키지 예약만   
AND F.NATION_CODE = 'LA'   
AND B.DEP_DATE &gt;= '2017-01-01 00:00:00'  
AND B.DEP_DATE &lt; '2018-01-01 00:00:00'  
AND A.BIRTH_DATE IS NOT NULL  
AND SALE_PRICE &gt; '1'  -- 1보다 큰 가격의 상품
GROUP BY SALE_PRICE  
ORDER BY COUNT(*), SALE_PRICE  
</t>
    <phoneticPr fontId="1" type="noConversion"/>
  </si>
  <si>
    <t>SELECT
 A.*
FROM (
  SELECT 
   LEFT(CONVERT(VARCHAR(10),A.DEP_DATE,112),4) AS 출발년도
   , ISNULL(B.BIRTH_DATE,C.BIRTH_DATE) AS [BIRTH_DATE] -- 예약자정보에 정보가 없으면 고객정보에서 가져옴
   ,B.GENDER
   ,A.DEP_DATE
   ,A.NEW_DATE
   ,DATEDIFF(DAY, A.NEW_DATE , A.DEP_DATE) AS 선행예약시점 -- 예약날짜와 출발날짜의 차이
  FROM RES_MASTER_damo A WITH(NOLOCK)
  INNER JOIN RES_CUSTOMER_damo B WITH(NOLOCK) ON A.RES_CODE = B.RES_CODE
  INNER JOIN CUS_CUSTOMER_DAMO C WITH(NOLOCK) ON B.CUS_NO = C.CUS_NO
  INNER JOIN PKG_DETAIL F WITH(NOLOCK) ON A.PRO_CODE = F.PRO_CODE
  INNER JOIN PRO_TRANS_SEAT G WITH(NOLOCK) ON F.SEAT_CODE =G.SEAT_CODE
  WHERE A.RES_STATE &lt;=7  AND B.RES_STATE =0
  AND A.DEP_DATE &gt;= '2015-01-01' AND A.DEP_DATE &lt; '2016-01-01'
  AND A.PRO_TYPE = 1 
  AND B.SALE_PRICE &gt; 0 -- 0보다 큰 가격
  AND G.DEP_ARR_AIRPORT_CODE IN ('HOE','LPQ','LXG','NEU','ODY','PKZ','THK','VNA','VNG','VTE','XAY','XKH','ZBY','ZVK') -- 
) A
WHERE A.BIRTH_DATE IS NOT NULL
ORDER BY MONTH(A.DEP_DATE)</t>
    <phoneticPr fontId="1" type="noConversion"/>
  </si>
  <si>
    <t>SELECT A.GENDER, COUNT(*)
FROM RES_CUSTOMER_DAMO A  -- 행사(상품) 
 INNER JOIN RES_MASTER_DAMO B  -- 예약건(예약자) 
  ON A.RES_CODE = B.RES_CODE
 INNER JOIN PKG_DETAIL C  -- 출발자 
  ON B.PRO_CODE = C.PRO_CODE
 INNER JOIN PRO_TRANS_SEAT D  --좌석정보 
  ON C.SEAT_CODE = D.SEAT_CODE
 -- 부가 정보는 LEFT JOIN 사용 
 LEFT JOIN PUB_AIRPORT E  -- 공항정보 
  ON D.DEP_ARR_AIRPORT_CODE = E.AIRPORT_CODE  
 LEFT JOIN PUB_CITY F  -- 도시정보
  ON E.CITY_CODE = F.CITY_CODE 
 LEFT JOIN PUB_NATION G  -- 국가정보
  ON F.NATION_CODE = G.NATION_CODE 
--WHERE B.DEP_DATE &gt; GETDATE()  -- 출발하지 않은 ( 출발날짜가 오늘날짜 보다 큰거 ) 
WHERE B.RES_STATE NOT IN ( 7,8,9 ) -- 정상인 예약건 ( 7,8,9=취소환불이동)
--AND C.RES_STATE = 0 -- 정상인 출발자 
AND B.PRO_TYPE = 1 -- 패키지 예약만 
AND F.NATION_CODE = 'LA' 
--AND B.RES_CODE = 'RP1712223898'
AND B.DEP_DATE &gt;= '2017-01-01' 
AND B.DEP_DATE &lt; '2018-01-01' -- 출발일 설정 
AND A.BIRTH_DATE IS NOT NULL
--ORDER BY B.DEP_DATE 
GROUP BY A.GENDER</t>
    <phoneticPr fontId="1" type="noConversion"/>
  </si>
  <si>
    <t>DECLARE @START_DATE DATETIME, @END_DATE DATETIME
SET TRANSACTION ISOLATION LEVEL READ UNCOMMITTED 
SELECT @START_DATE = '2017-01-01', @END_DATE = '2018-01-01';
WITH LIST AS 
( 
SELECT dbo.BD_CUS_GET_AGE(B.BIRTH_DATE,A.DEP_DATE, 1 ) [AGE], isnull(B.GENDER,c.gender) as [gender], d.SIGN_CODE
 FROM RES_MASTER_DAMO A
 INNER JOIN RES_CUSTOMER_DAMO B ON A.RES_CODE = B.RES_CODE
 INNER JOIN CUS_CUSTOMER_damo C ON B.CUS_NO = C.CUS_NO
 INNER JOIN PKG_MASTER D ON A.MASTER_CODE = D.MASTER_CODE
 INNER JOIN PKG_DETAIL E  -- 출발자 
  ON A.PRO_CODE = E.PRO_CODE
 INNER JOIN PRO_TRANS_SEAT F  --좌석정보 
  ON E.SEAT_CODE = F.SEAT_CODE
 -- 부가 정보는 LEFT JOIN 사용 
 LEFT JOIN PUB_AIRPORT G  -- 공항정보 
  ON F.DEP_ARR_AIRPORT_CODE = G.AIRPORT_CODE  
 LEFT JOIN PUB_CITY H  -- 도시정보
  ON G.CITY_CODE = H.CITY_CODE 
 LEFT JOIN PUB_NATION I  -- 국가정보
  ON H.NATION_CODE = I.NATION_CODE 
 WHERE A.DEP_DATE &gt;= @START_DATE AND A.DEP_DATE &lt; @END_DATE AND A.RES_STATE &lt; 7 AND B.RES_STATE = 0 AND SIGN_CODE = 'A'
 AND H.NATION_CODE = 'KH' 
 )-- 국가코드 - 캄보디아(KH),태국(TH),베트남(VN),라오스(LA)
 SELECT A.GENDER AS [성별], a.AGE as [연령대], B.KOR_NAME as [여행지역], COUNT(*) AS [인원수] 
 FROM LIST A
 LEFT JOIN PUB_REGION B ON A.SIGN_CODE =B.SIGN
 GROUP BY a.gender, a.age, B.KOR_NAME
 ORDER BY a.gender, a.age, B.KOR_NAME asc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</si>
</sst>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name val="나눔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.5"/>
      <color rgb="FF000000"/>
      <name val="나눔고딕"/>
      <family val="3"/>
      <charset val="129"/>
    </font>
    <font>
      <sz val="10"/>
      <color rgb="FF0D0D0D"/>
      <name val="나눔고딕"/>
      <family val="3"/>
      <charset val="129"/>
    </font>
    <font>
      <sz val="10"/>
      <color rgb="FF000000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.5"/>
      <color rgb="FF000000"/>
      <name val="나눔고딕"/>
      <family val="3"/>
      <charset val="129"/>
    </font>
    <font>
      <b/>
      <sz val="12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0" xfId="0" applyNumberFormat="1">
      <alignment vertical="center"/>
    </xf>
    <xf numFmtId="9" fontId="0" fillId="0" borderId="1" xfId="2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9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6" fillId="0" borderId="1" xfId="0" applyFont="1" applyFill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0" fontId="6" fillId="0" borderId="0" xfId="0" applyFont="1" applyBorder="1" applyAlignment="1">
      <alignment horizontal="center" vertical="center" wrapText="1" readingOrder="1"/>
    </xf>
    <xf numFmtId="9" fontId="6" fillId="0" borderId="1" xfId="2" applyFont="1" applyBorder="1" applyAlignment="1">
      <alignment horizontal="right" vertical="center" wrapText="1"/>
    </xf>
    <xf numFmtId="9" fontId="6" fillId="0" borderId="1" xfId="0" applyNumberFormat="1" applyFont="1" applyBorder="1" applyAlignment="1">
      <alignment horizontal="right" vertical="center" wrapText="1"/>
    </xf>
    <xf numFmtId="9" fontId="8" fillId="0" borderId="1" xfId="2" applyFont="1" applyBorder="1" applyAlignment="1">
      <alignment horizontal="right" vertical="center"/>
    </xf>
    <xf numFmtId="9" fontId="2" fillId="0" borderId="1" xfId="2" applyFont="1" applyBorder="1">
      <alignment vertical="center"/>
    </xf>
    <xf numFmtId="9" fontId="6" fillId="0" borderId="1" xfId="0" applyNumberFormat="1" applyFont="1" applyFill="1" applyBorder="1" applyAlignment="1">
      <alignment horizontal="right" vertical="center" wrapText="1" readingOrder="1"/>
    </xf>
    <xf numFmtId="0" fontId="0" fillId="0" borderId="1" xfId="0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1"/>
    </xf>
    <xf numFmtId="9" fontId="6" fillId="0" borderId="1" xfId="0" applyNumberFormat="1" applyFont="1" applyBorder="1" applyAlignment="1">
      <alignment horizontal="center" vertical="center" wrapText="1" readingOrder="1"/>
    </xf>
    <xf numFmtId="0" fontId="11" fillId="0" borderId="1" xfId="0" applyFont="1" applyFill="1" applyBorder="1" applyAlignment="1">
      <alignment horizontal="center" vertical="center" wrapText="1" readingOrder="1"/>
    </xf>
    <xf numFmtId="0" fontId="12" fillId="0" borderId="0" xfId="0" applyFont="1" applyBorder="1" applyAlignment="1">
      <alignment horizontal="center" vertical="center" wrapText="1" readingOrder="1"/>
    </xf>
    <xf numFmtId="0" fontId="15" fillId="0" borderId="0" xfId="0" applyFont="1">
      <alignment vertical="center"/>
    </xf>
    <xf numFmtId="9" fontId="6" fillId="0" borderId="1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Border="1" applyAlignment="1">
      <alignment horizontal="right" vertical="center" wrapText="1" readingOrder="1"/>
    </xf>
    <xf numFmtId="9" fontId="6" fillId="0" borderId="1" xfId="2" applyFont="1" applyBorder="1" applyAlignment="1">
      <alignment horizontal="right" vertical="center" wrapText="1" readingOrder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3" fillId="0" borderId="0" xfId="0" applyFont="1" applyFill="1" applyBorder="1">
      <alignment vertical="center"/>
    </xf>
    <xf numFmtId="9" fontId="6" fillId="0" borderId="0" xfId="2" applyFont="1" applyFill="1" applyBorder="1" applyAlignment="1">
      <alignment horizontal="right" vertical="center" wrapText="1"/>
    </xf>
    <xf numFmtId="9" fontId="6" fillId="0" borderId="0" xfId="0" applyNumberFormat="1" applyFont="1" applyFill="1" applyBorder="1" applyAlignment="1">
      <alignment horizontal="right" vertical="center" wrapText="1"/>
    </xf>
    <xf numFmtId="9" fontId="8" fillId="0" borderId="0" xfId="2" applyFont="1" applyFill="1" applyBorder="1" applyAlignment="1">
      <alignment horizontal="right" vertical="center"/>
    </xf>
    <xf numFmtId="9" fontId="2" fillId="0" borderId="0" xfId="2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0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6" fillId="0" borderId="1" xfId="2" applyNumberFormat="1" applyFont="1" applyBorder="1" applyAlignment="1">
      <alignment vertical="center" wrapText="1" readingOrder="1"/>
    </xf>
    <xf numFmtId="9" fontId="0" fillId="0" borderId="1" xfId="0" applyNumberFormat="1" applyFill="1" applyBorder="1">
      <alignment vertical="center"/>
    </xf>
    <xf numFmtId="9" fontId="0" fillId="0" borderId="0" xfId="0" applyNumberForma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9" fontId="4" fillId="0" borderId="1" xfId="0" applyNumberFormat="1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Border="1">
      <alignment vertical="center"/>
    </xf>
    <xf numFmtId="0" fontId="5" fillId="0" borderId="0" xfId="0" applyFont="1" applyFill="1" applyBorder="1" applyAlignment="1">
      <alignment vertical="center" wrapText="1" readingOrder="1"/>
    </xf>
    <xf numFmtId="0" fontId="6" fillId="0" borderId="0" xfId="0" applyFont="1" applyFill="1" applyBorder="1" applyAlignment="1">
      <alignment vertical="center" wrapText="1" readingOrder="1"/>
    </xf>
    <xf numFmtId="0" fontId="6" fillId="0" borderId="0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10" borderId="1" xfId="0" applyFill="1" applyBorder="1" applyAlignment="1">
      <alignment horizontal="right" vertical="center"/>
    </xf>
    <xf numFmtId="0" fontId="0" fillId="15" borderId="1" xfId="0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vertical="center" wrapText="1"/>
    </xf>
    <xf numFmtId="0" fontId="0" fillId="0" borderId="1" xfId="0" applyFill="1" applyBorder="1">
      <alignment vertical="center"/>
    </xf>
    <xf numFmtId="0" fontId="4" fillId="7" borderId="1" xfId="0" applyFont="1" applyFill="1" applyBorder="1">
      <alignment vertical="center"/>
    </xf>
    <xf numFmtId="0" fontId="22" fillId="0" borderId="1" xfId="0" applyFont="1" applyBorder="1">
      <alignment vertical="center"/>
    </xf>
    <xf numFmtId="0" fontId="4" fillId="0" borderId="0" xfId="0" applyFont="1" applyFill="1" applyAlignment="1">
      <alignment vertical="center"/>
    </xf>
    <xf numFmtId="9" fontId="0" fillId="0" borderId="0" xfId="0" applyNumberFormat="1" applyFill="1">
      <alignment vertical="center"/>
    </xf>
    <xf numFmtId="9" fontId="6" fillId="0" borderId="0" xfId="0" applyNumberFormat="1" applyFont="1" applyFill="1" applyBorder="1" applyAlignment="1">
      <alignment horizontal="right" vertical="center" wrapText="1" readingOrder="1"/>
    </xf>
    <xf numFmtId="0" fontId="9" fillId="0" borderId="0" xfId="0" applyFont="1" applyFill="1" applyBorder="1" applyAlignment="1">
      <alignment vertical="center"/>
    </xf>
    <xf numFmtId="0" fontId="4" fillId="8" borderId="1" xfId="0" applyFont="1" applyFill="1" applyBorder="1">
      <alignment vertical="center"/>
    </xf>
    <xf numFmtId="0" fontId="24" fillId="0" borderId="1" xfId="0" applyFont="1" applyFill="1" applyBorder="1">
      <alignment vertical="center"/>
    </xf>
    <xf numFmtId="0" fontId="23" fillId="12" borderId="1" xfId="0" applyFont="1" applyFill="1" applyBorder="1">
      <alignment vertical="center"/>
    </xf>
    <xf numFmtId="0" fontId="4" fillId="16" borderId="1" xfId="0" applyFont="1" applyFill="1" applyBorder="1">
      <alignment vertical="center"/>
    </xf>
    <xf numFmtId="0" fontId="4" fillId="17" borderId="1" xfId="0" applyFont="1" applyFill="1" applyBorder="1">
      <alignment vertical="center"/>
    </xf>
    <xf numFmtId="9" fontId="24" fillId="0" borderId="1" xfId="0" applyNumberFormat="1" applyFont="1" applyFill="1" applyBorder="1">
      <alignment vertical="center"/>
    </xf>
    <xf numFmtId="0" fontId="25" fillId="0" borderId="1" xfId="0" applyFont="1" applyFill="1" applyBorder="1">
      <alignment vertical="center"/>
    </xf>
    <xf numFmtId="0" fontId="4" fillId="9" borderId="1" xfId="0" applyFont="1" applyFill="1" applyBorder="1">
      <alignment vertical="center"/>
    </xf>
    <xf numFmtId="0" fontId="0" fillId="0" borderId="0" xfId="0" applyFill="1" applyBorder="1" applyAlignment="1">
      <alignment vertical="center" wrapText="1"/>
    </xf>
    <xf numFmtId="9" fontId="6" fillId="0" borderId="0" xfId="2" applyNumberFormat="1" applyFont="1" applyFill="1" applyBorder="1" applyAlignment="1">
      <alignment vertical="center" wrapText="1" readingOrder="1"/>
    </xf>
    <xf numFmtId="0" fontId="21" fillId="0" borderId="0" xfId="0" applyFont="1" applyAlignment="1">
      <alignment vertical="center"/>
    </xf>
    <xf numFmtId="9" fontId="6" fillId="0" borderId="0" xfId="2" applyFont="1" applyFill="1" applyBorder="1" applyAlignment="1">
      <alignment vertical="center" wrapText="1" readingOrder="1"/>
    </xf>
    <xf numFmtId="9" fontId="0" fillId="0" borderId="0" xfId="0" applyNumberForma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26" fillId="0" borderId="1" xfId="0" applyFont="1" applyFill="1" applyBorder="1" applyAlignment="1">
      <alignment horizontal="center" vertical="center" wrapText="1" readingOrder="1"/>
    </xf>
    <xf numFmtId="9" fontId="26" fillId="0" borderId="1" xfId="0" applyNumberFormat="1" applyFont="1" applyFill="1" applyBorder="1" applyAlignment="1">
      <alignment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13" fillId="0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0" fillId="0" borderId="10" xfId="0" applyBorder="1">
      <alignment vertical="center"/>
    </xf>
    <xf numFmtId="0" fontId="22" fillId="0" borderId="0" xfId="0" applyFont="1" applyBorder="1">
      <alignment vertical="center"/>
    </xf>
    <xf numFmtId="0" fontId="12" fillId="3" borderId="1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vertical="center" wrapText="1" readingOrder="1"/>
    </xf>
    <xf numFmtId="0" fontId="8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11" borderId="6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41" fontId="10" fillId="4" borderId="0" xfId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2" fillId="0" borderId="0" xfId="0" applyFont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12" fillId="14" borderId="5" xfId="0" applyFont="1" applyFill="1" applyBorder="1" applyAlignment="1">
      <alignment horizontal="center" vertical="center" wrapText="1" readingOrder="1"/>
    </xf>
    <xf numFmtId="0" fontId="12" fillId="14" borderId="3" xfId="0" applyFont="1" applyFill="1" applyBorder="1" applyAlignment="1">
      <alignment horizontal="center" vertical="center" wrapText="1" readingOrder="1"/>
    </xf>
    <xf numFmtId="0" fontId="21" fillId="0" borderId="0" xfId="0" applyFont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20427231285096E-2"/>
          <c:y val="6.7118724818156797E-2"/>
          <c:w val="0.92075756319933688"/>
          <c:h val="0.810846351527357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상품가격별선호!$K$53:$K$57</c:f>
              <c:numCache>
                <c:formatCode>General</c:formatCode>
                <c:ptCount val="5"/>
              </c:numCache>
            </c:numRef>
          </c:cat>
          <c:val>
            <c:numRef>
              <c:f>상품가격별선호!$L$53:$L$57</c:f>
              <c:numCache>
                <c:formatCode>0%</c:formatCode>
                <c:ptCount val="5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상품가격별선호!$K$53:$K$57</c:f>
              <c:numCache>
                <c:formatCode>General</c:formatCode>
                <c:ptCount val="5"/>
              </c:numCache>
            </c:numRef>
          </c:cat>
          <c:val>
            <c:numRef>
              <c:f>상품가격별선호!$M$53:$M$57</c:f>
              <c:numCache>
                <c:formatCode>0%</c:formatCode>
                <c:ptCount val="5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상품가격별선호!$K$53:$K$57</c:f>
              <c:numCache>
                <c:formatCode>General</c:formatCode>
                <c:ptCount val="5"/>
              </c:numCache>
            </c:numRef>
          </c:cat>
          <c:val>
            <c:numRef>
              <c:f>상품가격별선호!$N$53:$N$57</c:f>
              <c:numCache>
                <c:formatCode>0%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929360"/>
        <c:axId val="378934400"/>
      </c:barChart>
      <c:catAx>
        <c:axId val="3789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8934400"/>
        <c:crosses val="autoZero"/>
        <c:auto val="1"/>
        <c:lblAlgn val="ctr"/>
        <c:lblOffset val="100"/>
        <c:noMultiLvlLbl val="0"/>
      </c:catAx>
      <c:valAx>
        <c:axId val="37893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89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연령대별_상품가격선호!$U$12</c:f>
              <c:strCache>
                <c:ptCount val="1"/>
                <c:pt idx="0">
                  <c:v>0~29만원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연령대별_상품가격선호!$V$11:$AA$11</c:f>
              <c:strCache>
                <c:ptCount val="6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</c:v>
                </c:pt>
                <c:pt idx="4">
                  <c:v>60대</c:v>
                </c:pt>
                <c:pt idx="5">
                  <c:v>70대</c:v>
                </c:pt>
              </c:strCache>
            </c:strRef>
          </c:cat>
          <c:val>
            <c:numRef>
              <c:f>연령대별_상품가격선호!$V$12:$AA$12</c:f>
              <c:numCache>
                <c:formatCode>0%</c:formatCode>
                <c:ptCount val="6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</c:numCache>
            </c:numRef>
          </c:val>
        </c:ser>
        <c:ser>
          <c:idx val="1"/>
          <c:order val="1"/>
          <c:tx>
            <c:strRef>
              <c:f>연령대별_상품가격선호!$U$13</c:f>
              <c:strCache>
                <c:ptCount val="1"/>
                <c:pt idx="0">
                  <c:v>30~59만원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연령대별_상품가격선호!$V$11:$AA$11</c:f>
              <c:strCache>
                <c:ptCount val="6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</c:v>
                </c:pt>
                <c:pt idx="4">
                  <c:v>60대</c:v>
                </c:pt>
                <c:pt idx="5">
                  <c:v>70대</c:v>
                </c:pt>
              </c:strCache>
            </c:strRef>
          </c:cat>
          <c:val>
            <c:numRef>
              <c:f>연령대별_상품가격선호!$V$13:$AA$13</c:f>
              <c:numCache>
                <c:formatCode>0%</c:formatCode>
                <c:ptCount val="6"/>
                <c:pt idx="0">
                  <c:v>0.56000000000000005</c:v>
                </c:pt>
                <c:pt idx="1">
                  <c:v>0.52</c:v>
                </c:pt>
                <c:pt idx="2">
                  <c:v>0.54</c:v>
                </c:pt>
                <c:pt idx="3">
                  <c:v>0.46</c:v>
                </c:pt>
                <c:pt idx="4">
                  <c:v>0.49</c:v>
                </c:pt>
                <c:pt idx="5">
                  <c:v>0.59</c:v>
                </c:pt>
              </c:numCache>
            </c:numRef>
          </c:val>
        </c:ser>
        <c:ser>
          <c:idx val="2"/>
          <c:order val="2"/>
          <c:tx>
            <c:strRef>
              <c:f>연령대별_상품가격선호!$U$14</c:f>
              <c:strCache>
                <c:ptCount val="1"/>
                <c:pt idx="0">
                  <c:v>60~89만원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연령대별_상품가격선호!$V$11:$AA$11</c:f>
              <c:strCache>
                <c:ptCount val="6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</c:v>
                </c:pt>
                <c:pt idx="4">
                  <c:v>60대</c:v>
                </c:pt>
                <c:pt idx="5">
                  <c:v>70대</c:v>
                </c:pt>
              </c:strCache>
            </c:strRef>
          </c:cat>
          <c:val>
            <c:numRef>
              <c:f>연령대별_상품가격선호!$V$14:$AA$14</c:f>
              <c:numCache>
                <c:formatCode>0%</c:formatCode>
                <c:ptCount val="6"/>
                <c:pt idx="0">
                  <c:v>0.18</c:v>
                </c:pt>
                <c:pt idx="1">
                  <c:v>0.25</c:v>
                </c:pt>
                <c:pt idx="2">
                  <c:v>0.33</c:v>
                </c:pt>
                <c:pt idx="3">
                  <c:v>0.33</c:v>
                </c:pt>
                <c:pt idx="4">
                  <c:v>0.36</c:v>
                </c:pt>
                <c:pt idx="5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연령대별_상품가격선호!$U$15</c:f>
              <c:strCache>
                <c:ptCount val="1"/>
                <c:pt idx="0">
                  <c:v>90~119만원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연령대별_상품가격선호!$V$11:$AA$11</c:f>
              <c:strCache>
                <c:ptCount val="6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</c:v>
                </c:pt>
                <c:pt idx="4">
                  <c:v>60대</c:v>
                </c:pt>
                <c:pt idx="5">
                  <c:v>70대</c:v>
                </c:pt>
              </c:strCache>
            </c:strRef>
          </c:cat>
          <c:val>
            <c:numRef>
              <c:f>연령대별_상품가격선호!$V$15:$AA$15</c:f>
              <c:numCache>
                <c:formatCode>0%</c:formatCode>
                <c:ptCount val="6"/>
                <c:pt idx="0">
                  <c:v>0.13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0.15</c:v>
                </c:pt>
                <c:pt idx="4">
                  <c:v>0.1</c:v>
                </c:pt>
                <c:pt idx="5">
                  <c:v>0.04</c:v>
                </c:pt>
              </c:numCache>
            </c:numRef>
          </c:val>
        </c:ser>
        <c:ser>
          <c:idx val="4"/>
          <c:order val="4"/>
          <c:tx>
            <c:strRef>
              <c:f>연령대별_상품가격선호!$U$16</c:f>
              <c:strCache>
                <c:ptCount val="1"/>
                <c:pt idx="0">
                  <c:v>120만원 이상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연령대별_상품가격선호!$V$11:$AA$11</c:f>
              <c:strCache>
                <c:ptCount val="6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</c:v>
                </c:pt>
                <c:pt idx="4">
                  <c:v>60대</c:v>
                </c:pt>
                <c:pt idx="5">
                  <c:v>70대</c:v>
                </c:pt>
              </c:strCache>
            </c:strRef>
          </c:cat>
          <c:val>
            <c:numRef>
              <c:f>연령대별_상품가격선호!$V$16:$AA$16</c:f>
              <c:numCache>
                <c:formatCode>0%</c:formatCode>
                <c:ptCount val="6"/>
                <c:pt idx="0">
                  <c:v>0.09</c:v>
                </c:pt>
                <c:pt idx="1">
                  <c:v>0.16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961280"/>
        <c:axId val="378955120"/>
      </c:radarChart>
      <c:catAx>
        <c:axId val="37896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8955120"/>
        <c:crosses val="autoZero"/>
        <c:auto val="1"/>
        <c:lblAlgn val="ctr"/>
        <c:lblOffset val="100"/>
        <c:noMultiLvlLbl val="0"/>
      </c:catAx>
      <c:valAx>
        <c:axId val="3789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896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370418</xdr:colOff>
      <xdr:row>59</xdr:row>
      <xdr:rowOff>147107</xdr:rowOff>
    </xdr:from>
    <xdr:to>
      <xdr:col>18</xdr:col>
      <xdr:colOff>571502</xdr:colOff>
      <xdr:row>79</xdr:row>
      <xdr:rowOff>52916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47625</xdr:colOff>
      <xdr:row>18</xdr:row>
      <xdr:rowOff>123824</xdr:rowOff>
    </xdr:from>
    <xdr:to>
      <xdr:col>27</xdr:col>
      <xdr:colOff>57150</xdr:colOff>
      <xdr:row>34</xdr:row>
      <xdr:rowOff>19049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21"/>
  <sheetViews>
    <sheetView topLeftCell="A157" workbookViewId="0">
      <selection activeCell="E26" sqref="E26"/>
    </sheetView>
  </sheetViews>
  <sheetFormatPr defaultRowHeight="16.5"/>
  <cols>
    <col min="1" max="1" width="15.875" style="4" bestFit="1" customWidth="1"/>
    <col min="2" max="2" width="6.5" style="4" bestFit="1" customWidth="1"/>
    <col min="3" max="3" width="15.875" style="4" bestFit="1" customWidth="1"/>
    <col min="4" max="4" width="9" style="4"/>
  </cols>
  <sheetData>
    <row r="1" spans="1:10">
      <c r="A1" s="53" t="s">
        <v>12</v>
      </c>
      <c r="B1" s="45" t="s">
        <v>1050</v>
      </c>
      <c r="C1" s="53" t="s">
        <v>13</v>
      </c>
      <c r="D1" s="45" t="s">
        <v>1050</v>
      </c>
      <c r="F1" s="104" t="s">
        <v>1051</v>
      </c>
      <c r="G1" s="104"/>
      <c r="H1" s="104"/>
      <c r="I1" s="104"/>
    </row>
    <row r="2" spans="1:10">
      <c r="A2" s="4" t="s">
        <v>0</v>
      </c>
      <c r="B2" s="4">
        <v>11735</v>
      </c>
      <c r="C2" s="4" t="s">
        <v>0</v>
      </c>
      <c r="D2" s="4">
        <v>16562</v>
      </c>
      <c r="F2" s="102" t="s">
        <v>1049</v>
      </c>
      <c r="G2" s="103"/>
      <c r="H2" s="103"/>
      <c r="I2" s="103"/>
      <c r="J2" s="1"/>
    </row>
    <row r="3" spans="1:10">
      <c r="A3" s="4" t="s">
        <v>1</v>
      </c>
      <c r="B3" s="4">
        <v>921</v>
      </c>
      <c r="C3" s="4" t="s">
        <v>1</v>
      </c>
      <c r="D3" s="4">
        <v>972</v>
      </c>
      <c r="F3" s="103"/>
      <c r="G3" s="103"/>
      <c r="H3" s="103"/>
      <c r="I3" s="103"/>
      <c r="J3" s="1"/>
    </row>
    <row r="4" spans="1:10">
      <c r="A4" s="4" t="s">
        <v>5</v>
      </c>
      <c r="B4" s="4">
        <v>482</v>
      </c>
      <c r="C4" s="4" t="s">
        <v>5</v>
      </c>
      <c r="D4" s="4">
        <v>404</v>
      </c>
      <c r="F4" s="103"/>
      <c r="G4" s="103"/>
      <c r="H4" s="103"/>
      <c r="I4" s="103"/>
      <c r="J4" s="1"/>
    </row>
    <row r="5" spans="1:10">
      <c r="A5" s="4" t="s">
        <v>3</v>
      </c>
      <c r="B5" s="4">
        <v>360</v>
      </c>
      <c r="C5" s="4" t="s">
        <v>8</v>
      </c>
      <c r="D5" s="4">
        <v>331</v>
      </c>
      <c r="F5" s="103"/>
      <c r="G5" s="103"/>
      <c r="H5" s="103"/>
      <c r="I5" s="103"/>
      <c r="J5" s="1"/>
    </row>
    <row r="6" spans="1:10">
      <c r="A6" s="4" t="s">
        <v>8</v>
      </c>
      <c r="B6" s="4">
        <v>139</v>
      </c>
      <c r="C6" s="4" t="s">
        <v>3</v>
      </c>
      <c r="D6" s="4">
        <v>311</v>
      </c>
      <c r="F6" s="103"/>
      <c r="G6" s="103"/>
      <c r="H6" s="103"/>
      <c r="I6" s="103"/>
      <c r="J6" s="1"/>
    </row>
    <row r="7" spans="1:10">
      <c r="A7" s="4" t="s">
        <v>2</v>
      </c>
      <c r="B7" s="4">
        <v>103</v>
      </c>
      <c r="C7" s="4" t="s">
        <v>7</v>
      </c>
      <c r="D7" s="4">
        <v>293</v>
      </c>
      <c r="F7" s="103"/>
      <c r="G7" s="103"/>
      <c r="H7" s="103"/>
      <c r="I7" s="103"/>
      <c r="J7" s="1"/>
    </row>
    <row r="8" spans="1:10">
      <c r="A8" s="4" t="s">
        <v>4</v>
      </c>
      <c r="B8" s="4">
        <v>98</v>
      </c>
      <c r="C8" s="4" t="s">
        <v>10</v>
      </c>
      <c r="D8" s="4">
        <v>160</v>
      </c>
      <c r="F8" s="103"/>
      <c r="G8" s="103"/>
      <c r="H8" s="103"/>
      <c r="I8" s="103"/>
      <c r="J8" s="1"/>
    </row>
    <row r="9" spans="1:10">
      <c r="A9" s="4" t="s">
        <v>9</v>
      </c>
      <c r="B9" s="4">
        <v>93</v>
      </c>
      <c r="C9" s="4" t="s">
        <v>6</v>
      </c>
      <c r="D9" s="4">
        <v>121</v>
      </c>
      <c r="F9" s="103"/>
      <c r="G9" s="103"/>
      <c r="H9" s="103"/>
      <c r="I9" s="103"/>
      <c r="J9" s="1"/>
    </row>
    <row r="10" spans="1:10">
      <c r="A10" s="4" t="s">
        <v>6</v>
      </c>
      <c r="B10" s="4">
        <v>81</v>
      </c>
      <c r="C10" s="4" t="s">
        <v>14</v>
      </c>
      <c r="D10" s="4">
        <v>105</v>
      </c>
      <c r="F10" s="103"/>
      <c r="G10" s="103"/>
      <c r="H10" s="103"/>
      <c r="I10" s="103"/>
      <c r="J10" s="1"/>
    </row>
    <row r="11" spans="1:10">
      <c r="A11" s="4" t="s">
        <v>11</v>
      </c>
      <c r="B11" s="4">
        <v>76</v>
      </c>
      <c r="C11" s="4" t="s">
        <v>2</v>
      </c>
      <c r="D11" s="4">
        <v>104</v>
      </c>
      <c r="F11" s="103"/>
      <c r="G11" s="103"/>
      <c r="H11" s="103"/>
      <c r="I11" s="103"/>
      <c r="J11" s="1"/>
    </row>
    <row r="12" spans="1:10">
      <c r="A12" s="4" t="s">
        <v>136</v>
      </c>
      <c r="B12" s="4">
        <v>73</v>
      </c>
      <c r="C12" s="4" t="s">
        <v>137</v>
      </c>
      <c r="D12" s="4">
        <v>67</v>
      </c>
      <c r="F12" s="103"/>
      <c r="G12" s="103"/>
      <c r="H12" s="103"/>
      <c r="I12" s="103"/>
      <c r="J12" s="1"/>
    </row>
    <row r="13" spans="1:10">
      <c r="A13" s="4" t="s">
        <v>10</v>
      </c>
      <c r="B13" s="4">
        <v>66</v>
      </c>
      <c r="C13" s="4" t="s">
        <v>136</v>
      </c>
      <c r="D13" s="4">
        <v>66</v>
      </c>
      <c r="F13" s="103"/>
      <c r="G13" s="103"/>
      <c r="H13" s="103"/>
      <c r="I13" s="103"/>
      <c r="J13" s="1"/>
    </row>
    <row r="14" spans="1:10">
      <c r="A14" s="4" t="s">
        <v>7</v>
      </c>
      <c r="B14" s="4">
        <v>56</v>
      </c>
      <c r="C14" s="4" t="s">
        <v>4</v>
      </c>
      <c r="D14" s="4">
        <v>63</v>
      </c>
      <c r="F14" s="103"/>
      <c r="G14" s="103"/>
      <c r="H14" s="103"/>
      <c r="I14" s="103"/>
      <c r="J14" s="1"/>
    </row>
    <row r="15" spans="1:10">
      <c r="A15" s="4" t="s">
        <v>138</v>
      </c>
      <c r="B15" s="4">
        <v>49</v>
      </c>
      <c r="C15" s="4" t="s">
        <v>139</v>
      </c>
      <c r="D15" s="4">
        <v>61</v>
      </c>
      <c r="F15" s="103"/>
      <c r="G15" s="103"/>
      <c r="H15" s="103"/>
      <c r="I15" s="103"/>
      <c r="J15" s="1"/>
    </row>
    <row r="16" spans="1:10">
      <c r="A16" s="4" t="s">
        <v>140</v>
      </c>
      <c r="B16" s="4">
        <v>48</v>
      </c>
      <c r="C16" s="4" t="s">
        <v>11</v>
      </c>
      <c r="D16" s="4">
        <v>56</v>
      </c>
      <c r="F16" s="103"/>
      <c r="G16" s="103"/>
      <c r="H16" s="103"/>
      <c r="I16" s="103"/>
      <c r="J16" s="1"/>
    </row>
    <row r="17" spans="1:10">
      <c r="A17" s="4" t="s">
        <v>137</v>
      </c>
      <c r="B17" s="4">
        <v>40</v>
      </c>
      <c r="C17" s="4" t="s">
        <v>141</v>
      </c>
      <c r="D17" s="4">
        <v>52</v>
      </c>
      <c r="F17" s="103"/>
      <c r="G17" s="103"/>
      <c r="H17" s="103"/>
      <c r="I17" s="103"/>
      <c r="J17" s="1"/>
    </row>
    <row r="18" spans="1:10">
      <c r="A18" s="4" t="s">
        <v>142</v>
      </c>
      <c r="B18" s="4">
        <v>30</v>
      </c>
      <c r="C18" s="4" t="s">
        <v>143</v>
      </c>
      <c r="D18" s="4">
        <v>52</v>
      </c>
      <c r="F18" s="103"/>
      <c r="G18" s="103"/>
      <c r="H18" s="103"/>
      <c r="I18" s="103"/>
      <c r="J18" s="1"/>
    </row>
    <row r="19" spans="1:10">
      <c r="A19" s="4" t="s">
        <v>139</v>
      </c>
      <c r="B19" s="4">
        <v>28</v>
      </c>
      <c r="C19" s="4" t="s">
        <v>140</v>
      </c>
      <c r="D19" s="4">
        <v>51</v>
      </c>
      <c r="F19" s="103"/>
      <c r="G19" s="103"/>
      <c r="H19" s="103"/>
      <c r="I19" s="103"/>
    </row>
    <row r="20" spans="1:10">
      <c r="A20" s="4" t="s">
        <v>144</v>
      </c>
      <c r="B20" s="4">
        <v>26</v>
      </c>
      <c r="C20" s="4" t="s">
        <v>145</v>
      </c>
      <c r="D20" s="4">
        <v>50</v>
      </c>
      <c r="F20" s="103"/>
      <c r="G20" s="103"/>
      <c r="H20" s="103"/>
      <c r="I20" s="103"/>
    </row>
    <row r="21" spans="1:10">
      <c r="A21" s="4" t="s">
        <v>146</v>
      </c>
      <c r="B21" s="4">
        <v>21</v>
      </c>
      <c r="C21" s="4" t="s">
        <v>144</v>
      </c>
      <c r="D21" s="4">
        <v>49</v>
      </c>
      <c r="F21" s="103"/>
      <c r="G21" s="103"/>
      <c r="H21" s="103"/>
      <c r="I21" s="103"/>
    </row>
    <row r="22" spans="1:10">
      <c r="A22" s="4" t="s">
        <v>147</v>
      </c>
      <c r="B22" s="4">
        <v>20</v>
      </c>
      <c r="C22" s="4" t="s">
        <v>9</v>
      </c>
      <c r="D22" s="4">
        <v>34</v>
      </c>
      <c r="F22" s="103"/>
      <c r="G22" s="103"/>
      <c r="H22" s="103"/>
      <c r="I22" s="103"/>
    </row>
    <row r="23" spans="1:10">
      <c r="A23" s="4" t="s">
        <v>148</v>
      </c>
      <c r="B23" s="4">
        <v>20</v>
      </c>
      <c r="C23" s="4" t="s">
        <v>149</v>
      </c>
      <c r="D23" s="4">
        <v>33</v>
      </c>
    </row>
    <row r="24" spans="1:10">
      <c r="A24" s="4" t="s">
        <v>150</v>
      </c>
      <c r="B24" s="4">
        <v>19</v>
      </c>
      <c r="C24" s="4" t="s">
        <v>151</v>
      </c>
      <c r="D24" s="4">
        <v>31</v>
      </c>
    </row>
    <row r="25" spans="1:10">
      <c r="A25" s="4" t="s">
        <v>152</v>
      </c>
      <c r="B25" s="4">
        <v>19</v>
      </c>
      <c r="C25" s="4" t="s">
        <v>146</v>
      </c>
      <c r="D25" s="4">
        <v>22</v>
      </c>
    </row>
    <row r="26" spans="1:10">
      <c r="A26" s="4" t="s">
        <v>153</v>
      </c>
      <c r="B26" s="4">
        <v>19</v>
      </c>
      <c r="C26" s="4" t="s">
        <v>138</v>
      </c>
      <c r="D26" s="4">
        <v>21</v>
      </c>
    </row>
    <row r="27" spans="1:10">
      <c r="A27" s="4" t="s">
        <v>154</v>
      </c>
      <c r="B27" s="4">
        <v>19</v>
      </c>
      <c r="C27" s="4" t="s">
        <v>155</v>
      </c>
      <c r="D27" s="4">
        <v>20</v>
      </c>
    </row>
    <row r="28" spans="1:10">
      <c r="A28" s="4" t="s">
        <v>145</v>
      </c>
      <c r="B28" s="4">
        <v>18</v>
      </c>
      <c r="C28" s="4" t="s">
        <v>156</v>
      </c>
      <c r="D28" s="4">
        <v>19</v>
      </c>
    </row>
    <row r="29" spans="1:10">
      <c r="A29" s="4" t="s">
        <v>157</v>
      </c>
      <c r="B29" s="4">
        <v>18</v>
      </c>
      <c r="C29" s="4" t="s">
        <v>142</v>
      </c>
      <c r="D29" s="4">
        <v>18</v>
      </c>
    </row>
    <row r="30" spans="1:10">
      <c r="A30" s="4" t="s">
        <v>158</v>
      </c>
      <c r="B30" s="4">
        <v>17</v>
      </c>
      <c r="C30" s="4" t="s">
        <v>152</v>
      </c>
      <c r="D30" s="4">
        <v>17</v>
      </c>
    </row>
    <row r="31" spans="1:10">
      <c r="A31" s="4" t="s">
        <v>159</v>
      </c>
      <c r="B31" s="4">
        <v>16</v>
      </c>
      <c r="C31" s="4" t="s">
        <v>160</v>
      </c>
      <c r="D31" s="4">
        <v>16</v>
      </c>
    </row>
    <row r="32" spans="1:10">
      <c r="A32" s="4" t="s">
        <v>161</v>
      </c>
      <c r="B32" s="4">
        <v>14</v>
      </c>
      <c r="C32" s="4" t="s">
        <v>162</v>
      </c>
      <c r="D32" s="4">
        <v>15</v>
      </c>
    </row>
    <row r="33" spans="1:4">
      <c r="A33" s="4" t="s">
        <v>163</v>
      </c>
      <c r="B33" s="4">
        <v>13</v>
      </c>
      <c r="C33" s="4" t="s">
        <v>164</v>
      </c>
      <c r="D33" s="4">
        <v>14</v>
      </c>
    </row>
    <row r="34" spans="1:4">
      <c r="A34" s="4" t="s">
        <v>141</v>
      </c>
      <c r="B34" s="4">
        <v>13</v>
      </c>
      <c r="C34" s="4" t="s">
        <v>165</v>
      </c>
      <c r="D34" s="4">
        <v>14</v>
      </c>
    </row>
    <row r="35" spans="1:4">
      <c r="A35" s="4" t="s">
        <v>166</v>
      </c>
      <c r="B35" s="4">
        <v>13</v>
      </c>
      <c r="C35" s="4" t="s">
        <v>163</v>
      </c>
      <c r="D35" s="4">
        <v>14</v>
      </c>
    </row>
    <row r="36" spans="1:4">
      <c r="A36" s="4" t="s">
        <v>167</v>
      </c>
      <c r="B36" s="4">
        <v>12</v>
      </c>
      <c r="C36" s="4" t="s">
        <v>168</v>
      </c>
      <c r="D36" s="4">
        <v>13</v>
      </c>
    </row>
    <row r="37" spans="1:4">
      <c r="A37" s="4" t="s">
        <v>169</v>
      </c>
      <c r="B37" s="4">
        <v>10</v>
      </c>
      <c r="C37" s="4" t="s">
        <v>159</v>
      </c>
      <c r="D37" s="4">
        <v>13</v>
      </c>
    </row>
    <row r="38" spans="1:4">
      <c r="A38" s="4" t="s">
        <v>170</v>
      </c>
      <c r="B38" s="4">
        <v>10</v>
      </c>
      <c r="C38" s="4" t="s">
        <v>150</v>
      </c>
      <c r="D38" s="4">
        <v>13</v>
      </c>
    </row>
    <row r="39" spans="1:4">
      <c r="A39" s="4" t="s">
        <v>171</v>
      </c>
      <c r="B39" s="4">
        <v>10</v>
      </c>
      <c r="C39" s="4" t="s">
        <v>172</v>
      </c>
      <c r="D39" s="4">
        <v>13</v>
      </c>
    </row>
    <row r="40" spans="1:4">
      <c r="A40" s="4" t="s">
        <v>165</v>
      </c>
      <c r="B40" s="4">
        <v>10</v>
      </c>
      <c r="C40" s="4" t="s">
        <v>173</v>
      </c>
      <c r="D40" s="4">
        <v>13</v>
      </c>
    </row>
    <row r="41" spans="1:4">
      <c r="A41" s="4" t="s">
        <v>174</v>
      </c>
      <c r="B41" s="4">
        <v>9</v>
      </c>
      <c r="C41" s="4" t="s">
        <v>147</v>
      </c>
      <c r="D41" s="4">
        <v>12</v>
      </c>
    </row>
    <row r="42" spans="1:4">
      <c r="A42" s="4" t="s">
        <v>175</v>
      </c>
      <c r="B42" s="4">
        <v>9</v>
      </c>
      <c r="C42" s="4" t="s">
        <v>176</v>
      </c>
      <c r="D42" s="4">
        <v>12</v>
      </c>
    </row>
    <row r="43" spans="1:4">
      <c r="A43" s="4" t="s">
        <v>149</v>
      </c>
      <c r="B43" s="4">
        <v>9</v>
      </c>
      <c r="C43" s="4" t="s">
        <v>157</v>
      </c>
      <c r="D43" s="4">
        <v>12</v>
      </c>
    </row>
    <row r="44" spans="1:4">
      <c r="A44" s="4" t="s">
        <v>162</v>
      </c>
      <c r="B44" s="4">
        <v>9</v>
      </c>
      <c r="C44" s="4" t="s">
        <v>175</v>
      </c>
      <c r="D44" s="4">
        <v>11</v>
      </c>
    </row>
    <row r="45" spans="1:4">
      <c r="A45" s="4" t="s">
        <v>177</v>
      </c>
      <c r="B45" s="4">
        <v>9</v>
      </c>
      <c r="C45" s="4" t="s">
        <v>148</v>
      </c>
      <c r="D45" s="4">
        <v>11</v>
      </c>
    </row>
    <row r="46" spans="1:4">
      <c r="A46" s="4" t="s">
        <v>178</v>
      </c>
      <c r="B46" s="4">
        <v>9</v>
      </c>
      <c r="C46" s="4" t="s">
        <v>179</v>
      </c>
      <c r="D46" s="4">
        <v>11</v>
      </c>
    </row>
    <row r="47" spans="1:4">
      <c r="A47" s="4" t="s">
        <v>180</v>
      </c>
      <c r="B47" s="4">
        <v>9</v>
      </c>
      <c r="C47" s="4" t="s">
        <v>171</v>
      </c>
      <c r="D47" s="4">
        <v>10</v>
      </c>
    </row>
    <row r="48" spans="1:4">
      <c r="A48" s="4" t="s">
        <v>181</v>
      </c>
      <c r="B48" s="4">
        <v>9</v>
      </c>
      <c r="C48" s="4" t="s">
        <v>158</v>
      </c>
      <c r="D48" s="4">
        <v>10</v>
      </c>
    </row>
    <row r="49" spans="1:4">
      <c r="A49" s="4" t="s">
        <v>182</v>
      </c>
      <c r="B49" s="4">
        <v>8</v>
      </c>
      <c r="C49" s="4" t="s">
        <v>166</v>
      </c>
      <c r="D49" s="4">
        <v>10</v>
      </c>
    </row>
    <row r="50" spans="1:4">
      <c r="A50" s="4" t="s">
        <v>173</v>
      </c>
      <c r="B50" s="4">
        <v>8</v>
      </c>
      <c r="C50" s="4" t="s">
        <v>183</v>
      </c>
      <c r="D50" s="4">
        <v>10</v>
      </c>
    </row>
    <row r="51" spans="1:4">
      <c r="A51" s="4" t="s">
        <v>184</v>
      </c>
      <c r="B51" s="4">
        <v>8</v>
      </c>
      <c r="C51" s="4" t="s">
        <v>185</v>
      </c>
      <c r="D51" s="4">
        <v>9</v>
      </c>
    </row>
    <row r="52" spans="1:4">
      <c r="A52" s="4" t="s">
        <v>186</v>
      </c>
      <c r="B52" s="4">
        <v>8</v>
      </c>
      <c r="C52" s="4" t="s">
        <v>187</v>
      </c>
      <c r="D52" s="4">
        <v>9</v>
      </c>
    </row>
    <row r="53" spans="1:4">
      <c r="A53" s="4" t="s">
        <v>188</v>
      </c>
      <c r="B53" s="4">
        <v>7</v>
      </c>
      <c r="C53" s="4" t="s">
        <v>189</v>
      </c>
      <c r="D53" s="4">
        <v>8</v>
      </c>
    </row>
    <row r="54" spans="1:4">
      <c r="A54" s="4" t="s">
        <v>168</v>
      </c>
      <c r="B54" s="4">
        <v>7</v>
      </c>
      <c r="C54" s="4" t="s">
        <v>190</v>
      </c>
      <c r="D54" s="4">
        <v>8</v>
      </c>
    </row>
    <row r="55" spans="1:4">
      <c r="A55" s="4" t="s">
        <v>191</v>
      </c>
      <c r="B55" s="4">
        <v>7</v>
      </c>
      <c r="C55" s="4" t="s">
        <v>161</v>
      </c>
      <c r="D55" s="4">
        <v>8</v>
      </c>
    </row>
    <row r="56" spans="1:4">
      <c r="A56" s="4" t="s">
        <v>192</v>
      </c>
      <c r="B56" s="4">
        <v>7</v>
      </c>
      <c r="C56" s="4" t="s">
        <v>170</v>
      </c>
      <c r="D56" s="4">
        <v>7</v>
      </c>
    </row>
    <row r="57" spans="1:4">
      <c r="A57" s="4" t="s">
        <v>193</v>
      </c>
      <c r="B57" s="4">
        <v>6</v>
      </c>
      <c r="C57" s="4" t="s">
        <v>194</v>
      </c>
      <c r="D57" s="4">
        <v>7</v>
      </c>
    </row>
    <row r="58" spans="1:4">
      <c r="A58" s="4" t="s">
        <v>195</v>
      </c>
      <c r="B58" s="4">
        <v>6</v>
      </c>
      <c r="C58" s="4" t="s">
        <v>196</v>
      </c>
      <c r="D58" s="4">
        <v>7</v>
      </c>
    </row>
    <row r="59" spans="1:4">
      <c r="A59" s="4" t="s">
        <v>197</v>
      </c>
      <c r="B59" s="4">
        <v>6</v>
      </c>
      <c r="C59" s="4" t="s">
        <v>198</v>
      </c>
      <c r="D59" s="4">
        <v>7</v>
      </c>
    </row>
    <row r="60" spans="1:4">
      <c r="A60" s="4" t="s">
        <v>172</v>
      </c>
      <c r="B60" s="4">
        <v>6</v>
      </c>
      <c r="C60" s="4" t="s">
        <v>199</v>
      </c>
      <c r="D60" s="4">
        <v>6</v>
      </c>
    </row>
    <row r="61" spans="1:4">
      <c r="A61" s="4" t="s">
        <v>200</v>
      </c>
      <c r="B61" s="4">
        <v>6</v>
      </c>
      <c r="C61" s="4" t="s">
        <v>201</v>
      </c>
      <c r="D61" s="4">
        <v>6</v>
      </c>
    </row>
    <row r="62" spans="1:4">
      <c r="A62" s="4" t="s">
        <v>164</v>
      </c>
      <c r="B62" s="4">
        <v>6</v>
      </c>
      <c r="C62" s="4" t="s">
        <v>200</v>
      </c>
      <c r="D62" s="4">
        <v>6</v>
      </c>
    </row>
    <row r="63" spans="1:4">
      <c r="A63" s="4" t="s">
        <v>202</v>
      </c>
      <c r="B63" s="4">
        <v>6</v>
      </c>
      <c r="C63" s="4" t="s">
        <v>167</v>
      </c>
      <c r="D63" s="4">
        <v>6</v>
      </c>
    </row>
    <row r="64" spans="1:4">
      <c r="A64" s="4" t="s">
        <v>203</v>
      </c>
      <c r="B64" s="4">
        <v>5</v>
      </c>
      <c r="C64" s="4" t="s">
        <v>177</v>
      </c>
      <c r="D64" s="4">
        <v>6</v>
      </c>
    </row>
    <row r="65" spans="1:4">
      <c r="A65" s="4" t="s">
        <v>204</v>
      </c>
      <c r="B65" s="4">
        <v>5</v>
      </c>
      <c r="C65" s="4" t="s">
        <v>188</v>
      </c>
      <c r="D65" s="4">
        <v>6</v>
      </c>
    </row>
    <row r="66" spans="1:4">
      <c r="A66" s="4" t="s">
        <v>205</v>
      </c>
      <c r="B66" s="4">
        <v>5</v>
      </c>
      <c r="C66" s="4" t="s">
        <v>206</v>
      </c>
      <c r="D66" s="4">
        <v>6</v>
      </c>
    </row>
    <row r="67" spans="1:4">
      <c r="A67" s="4" t="s">
        <v>207</v>
      </c>
      <c r="B67" s="4">
        <v>4</v>
      </c>
      <c r="C67" s="4" t="s">
        <v>208</v>
      </c>
      <c r="D67" s="4">
        <v>5</v>
      </c>
    </row>
    <row r="68" spans="1:4">
      <c r="A68" s="4" t="s">
        <v>160</v>
      </c>
      <c r="B68" s="4">
        <v>4</v>
      </c>
      <c r="C68" s="4" t="s">
        <v>209</v>
      </c>
      <c r="D68" s="4">
        <v>5</v>
      </c>
    </row>
    <row r="69" spans="1:4">
      <c r="A69" s="4" t="s">
        <v>210</v>
      </c>
      <c r="B69" s="4">
        <v>4</v>
      </c>
      <c r="C69" s="4" t="s">
        <v>211</v>
      </c>
      <c r="D69" s="4">
        <v>5</v>
      </c>
    </row>
    <row r="70" spans="1:4">
      <c r="A70" s="4" t="s">
        <v>212</v>
      </c>
      <c r="B70" s="4">
        <v>4</v>
      </c>
      <c r="C70" s="4" t="s">
        <v>210</v>
      </c>
      <c r="D70" s="4">
        <v>5</v>
      </c>
    </row>
    <row r="71" spans="1:4">
      <c r="A71" s="4" t="s">
        <v>213</v>
      </c>
      <c r="B71" s="4">
        <v>4</v>
      </c>
      <c r="C71" s="4" t="s">
        <v>214</v>
      </c>
      <c r="D71" s="4">
        <v>5</v>
      </c>
    </row>
    <row r="72" spans="1:4">
      <c r="A72" s="4" t="s">
        <v>215</v>
      </c>
      <c r="B72" s="4">
        <v>4</v>
      </c>
      <c r="C72" s="4" t="s">
        <v>216</v>
      </c>
      <c r="D72" s="4">
        <v>5</v>
      </c>
    </row>
    <row r="73" spans="1:4">
      <c r="A73" s="4" t="s">
        <v>217</v>
      </c>
      <c r="B73" s="4">
        <v>4</v>
      </c>
      <c r="C73" s="4" t="s">
        <v>178</v>
      </c>
      <c r="D73" s="4">
        <v>5</v>
      </c>
    </row>
    <row r="74" spans="1:4">
      <c r="A74" s="4" t="s">
        <v>218</v>
      </c>
      <c r="B74" s="4">
        <v>4</v>
      </c>
      <c r="C74" s="4" t="s">
        <v>219</v>
      </c>
      <c r="D74" s="4">
        <v>5</v>
      </c>
    </row>
    <row r="75" spans="1:4">
      <c r="A75" s="4" t="s">
        <v>220</v>
      </c>
      <c r="B75" s="4">
        <v>4</v>
      </c>
      <c r="C75" s="4" t="s">
        <v>221</v>
      </c>
      <c r="D75" s="4">
        <v>5</v>
      </c>
    </row>
    <row r="76" spans="1:4">
      <c r="A76" s="4" t="s">
        <v>222</v>
      </c>
      <c r="B76" s="4">
        <v>3</v>
      </c>
      <c r="C76" s="4" t="s">
        <v>223</v>
      </c>
      <c r="D76" s="4">
        <v>5</v>
      </c>
    </row>
    <row r="77" spans="1:4">
      <c r="A77" s="4" t="s">
        <v>224</v>
      </c>
      <c r="B77" s="4">
        <v>3</v>
      </c>
      <c r="C77" s="4" t="s">
        <v>225</v>
      </c>
      <c r="D77" s="4">
        <v>4</v>
      </c>
    </row>
    <row r="78" spans="1:4">
      <c r="A78" s="4" t="s">
        <v>226</v>
      </c>
      <c r="B78" s="4">
        <v>3</v>
      </c>
      <c r="C78" s="4" t="s">
        <v>227</v>
      </c>
      <c r="D78" s="4">
        <v>4</v>
      </c>
    </row>
    <row r="79" spans="1:4">
      <c r="A79" s="4" t="s">
        <v>221</v>
      </c>
      <c r="B79" s="4">
        <v>3</v>
      </c>
      <c r="C79" s="4" t="s">
        <v>228</v>
      </c>
      <c r="D79" s="4">
        <v>4</v>
      </c>
    </row>
    <row r="80" spans="1:4">
      <c r="A80" s="4" t="s">
        <v>229</v>
      </c>
      <c r="B80" s="4">
        <v>3</v>
      </c>
      <c r="C80" s="4" t="s">
        <v>186</v>
      </c>
      <c r="D80" s="4">
        <v>4</v>
      </c>
    </row>
    <row r="81" spans="1:4">
      <c r="A81" s="4" t="s">
        <v>227</v>
      </c>
      <c r="B81" s="4">
        <v>3</v>
      </c>
      <c r="C81" s="4" t="s">
        <v>195</v>
      </c>
      <c r="D81" s="4">
        <v>4</v>
      </c>
    </row>
    <row r="82" spans="1:4">
      <c r="A82" s="4" t="s">
        <v>230</v>
      </c>
      <c r="B82" s="4">
        <v>3</v>
      </c>
      <c r="C82" s="4" t="s">
        <v>231</v>
      </c>
      <c r="D82" s="4">
        <v>4</v>
      </c>
    </row>
    <row r="83" spans="1:4">
      <c r="A83" s="4" t="s">
        <v>232</v>
      </c>
      <c r="B83" s="4">
        <v>3</v>
      </c>
      <c r="C83" s="4" t="s">
        <v>233</v>
      </c>
      <c r="D83" s="4">
        <v>4</v>
      </c>
    </row>
    <row r="84" spans="1:4">
      <c r="A84" s="4" t="s">
        <v>234</v>
      </c>
      <c r="B84" s="4">
        <v>3</v>
      </c>
      <c r="C84" s="4" t="s">
        <v>235</v>
      </c>
      <c r="D84" s="4">
        <v>4</v>
      </c>
    </row>
    <row r="85" spans="1:4">
      <c r="A85" s="4" t="s">
        <v>236</v>
      </c>
      <c r="B85" s="4">
        <v>3</v>
      </c>
      <c r="C85" s="4" t="s">
        <v>180</v>
      </c>
      <c r="D85" s="4">
        <v>4</v>
      </c>
    </row>
    <row r="86" spans="1:4">
      <c r="A86" s="4" t="s">
        <v>237</v>
      </c>
      <c r="B86" s="4">
        <v>3</v>
      </c>
      <c r="C86" s="4" t="s">
        <v>192</v>
      </c>
      <c r="D86" s="4">
        <v>4</v>
      </c>
    </row>
    <row r="87" spans="1:4">
      <c r="A87" s="4" t="s">
        <v>238</v>
      </c>
      <c r="B87" s="4">
        <v>3</v>
      </c>
      <c r="C87" s="4" t="s">
        <v>239</v>
      </c>
      <c r="D87" s="4">
        <v>4</v>
      </c>
    </row>
    <row r="88" spans="1:4">
      <c r="A88" s="4" t="s">
        <v>240</v>
      </c>
      <c r="B88" s="4">
        <v>3</v>
      </c>
      <c r="C88" s="4" t="s">
        <v>169</v>
      </c>
      <c r="D88" s="4">
        <v>4</v>
      </c>
    </row>
    <row r="89" spans="1:4">
      <c r="A89" s="4" t="s">
        <v>209</v>
      </c>
      <c r="B89" s="4">
        <v>3</v>
      </c>
      <c r="C89" s="4" t="s">
        <v>241</v>
      </c>
      <c r="D89" s="4">
        <v>4</v>
      </c>
    </row>
    <row r="90" spans="1:4">
      <c r="A90" s="4" t="s">
        <v>242</v>
      </c>
      <c r="B90" s="4">
        <v>3</v>
      </c>
      <c r="C90" s="4" t="s">
        <v>243</v>
      </c>
      <c r="D90" s="4">
        <v>4</v>
      </c>
    </row>
    <row r="91" spans="1:4">
      <c r="A91" s="4" t="s">
        <v>244</v>
      </c>
      <c r="B91" s="4">
        <v>3</v>
      </c>
      <c r="C91" s="4" t="s">
        <v>242</v>
      </c>
      <c r="D91" s="4">
        <v>4</v>
      </c>
    </row>
    <row r="92" spans="1:4">
      <c r="A92" s="4" t="s">
        <v>245</v>
      </c>
      <c r="B92" s="4">
        <v>3</v>
      </c>
      <c r="C92" s="4" t="s">
        <v>246</v>
      </c>
      <c r="D92" s="4">
        <v>3</v>
      </c>
    </row>
    <row r="93" spans="1:4">
      <c r="A93" s="4" t="s">
        <v>176</v>
      </c>
      <c r="B93" s="4">
        <v>3</v>
      </c>
      <c r="C93" s="4" t="s">
        <v>247</v>
      </c>
      <c r="D93" s="4">
        <v>3</v>
      </c>
    </row>
    <row r="94" spans="1:4">
      <c r="A94" s="4" t="s">
        <v>187</v>
      </c>
      <c r="B94" s="4">
        <v>3</v>
      </c>
      <c r="C94" s="4" t="s">
        <v>248</v>
      </c>
      <c r="D94" s="4">
        <v>3</v>
      </c>
    </row>
    <row r="95" spans="1:4">
      <c r="A95" s="4" t="s">
        <v>249</v>
      </c>
      <c r="B95" s="4">
        <v>3</v>
      </c>
      <c r="C95" s="4" t="s">
        <v>181</v>
      </c>
      <c r="D95" s="4">
        <v>3</v>
      </c>
    </row>
    <row r="96" spans="1:4">
      <c r="A96" s="4" t="s">
        <v>250</v>
      </c>
      <c r="B96" s="4">
        <v>3</v>
      </c>
      <c r="C96" s="4" t="s">
        <v>251</v>
      </c>
      <c r="D96" s="4">
        <v>3</v>
      </c>
    </row>
    <row r="97" spans="1:4">
      <c r="A97" s="4" t="s">
        <v>252</v>
      </c>
      <c r="B97" s="4">
        <v>3</v>
      </c>
      <c r="C97" s="4" t="s">
        <v>215</v>
      </c>
      <c r="D97" s="4">
        <v>3</v>
      </c>
    </row>
    <row r="98" spans="1:4">
      <c r="A98" s="4" t="s">
        <v>243</v>
      </c>
      <c r="B98" s="4">
        <v>3</v>
      </c>
      <c r="C98" s="4" t="s">
        <v>253</v>
      </c>
      <c r="D98" s="4">
        <v>3</v>
      </c>
    </row>
    <row r="99" spans="1:4">
      <c r="A99" s="4" t="s">
        <v>254</v>
      </c>
      <c r="B99" s="4">
        <v>3</v>
      </c>
      <c r="C99" s="4" t="s">
        <v>255</v>
      </c>
      <c r="D99" s="4">
        <v>3</v>
      </c>
    </row>
    <row r="100" spans="1:4">
      <c r="A100" s="4" t="s">
        <v>256</v>
      </c>
      <c r="B100" s="4">
        <v>3</v>
      </c>
      <c r="C100" s="4" t="s">
        <v>182</v>
      </c>
      <c r="D100" s="4">
        <v>3</v>
      </c>
    </row>
    <row r="101" spans="1:4">
      <c r="A101" s="4" t="s">
        <v>257</v>
      </c>
      <c r="B101" s="4">
        <v>3</v>
      </c>
      <c r="C101" s="4" t="s">
        <v>258</v>
      </c>
      <c r="D101" s="4">
        <v>3</v>
      </c>
    </row>
    <row r="102" spans="1:4">
      <c r="A102" s="4" t="s">
        <v>259</v>
      </c>
      <c r="B102" s="4">
        <v>3</v>
      </c>
      <c r="C102" s="4" t="s">
        <v>260</v>
      </c>
      <c r="D102" s="4">
        <v>3</v>
      </c>
    </row>
    <row r="103" spans="1:4">
      <c r="A103" s="4" t="s">
        <v>214</v>
      </c>
      <c r="B103" s="4">
        <v>3</v>
      </c>
      <c r="C103" s="4" t="s">
        <v>261</v>
      </c>
      <c r="D103" s="4">
        <v>3</v>
      </c>
    </row>
    <row r="104" spans="1:4">
      <c r="A104" s="4" t="s">
        <v>262</v>
      </c>
      <c r="B104" s="4">
        <v>2</v>
      </c>
      <c r="C104" s="4" t="s">
        <v>263</v>
      </c>
      <c r="D104" s="4">
        <v>3</v>
      </c>
    </row>
    <row r="105" spans="1:4">
      <c r="A105" s="4" t="s">
        <v>264</v>
      </c>
      <c r="B105" s="4">
        <v>2</v>
      </c>
      <c r="C105" s="4" t="s">
        <v>265</v>
      </c>
      <c r="D105" s="4">
        <v>3</v>
      </c>
    </row>
    <row r="106" spans="1:4">
      <c r="A106" s="4" t="s">
        <v>266</v>
      </c>
      <c r="B106" s="4">
        <v>2</v>
      </c>
      <c r="C106" s="4" t="s">
        <v>267</v>
      </c>
      <c r="D106" s="4">
        <v>3</v>
      </c>
    </row>
    <row r="107" spans="1:4">
      <c r="A107" s="4" t="s">
        <v>268</v>
      </c>
      <c r="B107" s="4">
        <v>2</v>
      </c>
      <c r="C107" s="4" t="s">
        <v>269</v>
      </c>
      <c r="D107" s="4">
        <v>3</v>
      </c>
    </row>
    <row r="108" spans="1:4">
      <c r="A108" s="4" t="s">
        <v>201</v>
      </c>
      <c r="B108" s="4">
        <v>2</v>
      </c>
      <c r="C108" s="4" t="s">
        <v>270</v>
      </c>
      <c r="D108" s="4">
        <v>3</v>
      </c>
    </row>
    <row r="109" spans="1:4">
      <c r="A109" s="4" t="s">
        <v>271</v>
      </c>
      <c r="B109" s="4">
        <v>2</v>
      </c>
      <c r="C109" s="4" t="s">
        <v>272</v>
      </c>
      <c r="D109" s="4">
        <v>3</v>
      </c>
    </row>
    <row r="110" spans="1:4">
      <c r="A110" s="4" t="s">
        <v>273</v>
      </c>
      <c r="B110" s="4">
        <v>2</v>
      </c>
      <c r="C110" s="4" t="s">
        <v>274</v>
      </c>
      <c r="D110" s="4">
        <v>3</v>
      </c>
    </row>
    <row r="111" spans="1:4">
      <c r="A111" s="4" t="s">
        <v>253</v>
      </c>
      <c r="B111" s="4">
        <v>2</v>
      </c>
      <c r="C111" s="4" t="s">
        <v>275</v>
      </c>
      <c r="D111" s="4">
        <v>3</v>
      </c>
    </row>
    <row r="112" spans="1:4">
      <c r="A112" s="4" t="s">
        <v>276</v>
      </c>
      <c r="B112" s="4">
        <v>2</v>
      </c>
      <c r="C112" s="4" t="s">
        <v>191</v>
      </c>
      <c r="D112" s="4">
        <v>3</v>
      </c>
    </row>
    <row r="113" spans="1:4">
      <c r="A113" s="4" t="s">
        <v>199</v>
      </c>
      <c r="B113" s="4">
        <v>2</v>
      </c>
      <c r="C113" s="4" t="s">
        <v>277</v>
      </c>
      <c r="D113" s="4">
        <v>3</v>
      </c>
    </row>
    <row r="114" spans="1:4">
      <c r="A114" s="4" t="s">
        <v>278</v>
      </c>
      <c r="B114" s="4">
        <v>2</v>
      </c>
      <c r="C114" s="4" t="s">
        <v>279</v>
      </c>
      <c r="D114" s="4">
        <v>3</v>
      </c>
    </row>
    <row r="115" spans="1:4">
      <c r="A115" s="4" t="s">
        <v>280</v>
      </c>
      <c r="B115" s="4">
        <v>2</v>
      </c>
      <c r="C115" s="4" t="s">
        <v>281</v>
      </c>
      <c r="D115" s="4">
        <v>3</v>
      </c>
    </row>
    <row r="116" spans="1:4">
      <c r="A116" s="4" t="s">
        <v>282</v>
      </c>
      <c r="B116" s="4">
        <v>2</v>
      </c>
      <c r="C116" s="4" t="s">
        <v>283</v>
      </c>
      <c r="D116" s="4">
        <v>3</v>
      </c>
    </row>
    <row r="117" spans="1:4">
      <c r="A117" s="4" t="s">
        <v>284</v>
      </c>
      <c r="B117" s="4">
        <v>2</v>
      </c>
      <c r="C117" s="4" t="s">
        <v>285</v>
      </c>
      <c r="D117" s="4">
        <v>3</v>
      </c>
    </row>
    <row r="118" spans="1:4">
      <c r="A118" s="4" t="s">
        <v>286</v>
      </c>
      <c r="B118" s="4">
        <v>2</v>
      </c>
      <c r="C118" s="4" t="s">
        <v>287</v>
      </c>
      <c r="D118" s="4">
        <v>3</v>
      </c>
    </row>
    <row r="119" spans="1:4">
      <c r="A119" s="4" t="s">
        <v>288</v>
      </c>
      <c r="B119" s="4">
        <v>2</v>
      </c>
      <c r="C119" s="4" t="s">
        <v>289</v>
      </c>
      <c r="D119" s="4">
        <v>3</v>
      </c>
    </row>
    <row r="120" spans="1:4">
      <c r="A120" s="4" t="s">
        <v>239</v>
      </c>
      <c r="B120" s="4">
        <v>2</v>
      </c>
      <c r="C120" s="4" t="s">
        <v>203</v>
      </c>
      <c r="D120" s="4">
        <v>3</v>
      </c>
    </row>
    <row r="121" spans="1:4">
      <c r="A121" s="4" t="s">
        <v>290</v>
      </c>
      <c r="B121" s="4">
        <v>2</v>
      </c>
      <c r="C121" s="4" t="s">
        <v>291</v>
      </c>
      <c r="D121" s="4">
        <v>3</v>
      </c>
    </row>
    <row r="122" spans="1:4">
      <c r="A122" s="4" t="s">
        <v>292</v>
      </c>
      <c r="B122" s="4">
        <v>2</v>
      </c>
      <c r="C122" s="4" t="s">
        <v>293</v>
      </c>
      <c r="D122" s="4">
        <v>3</v>
      </c>
    </row>
    <row r="123" spans="1:4">
      <c r="A123" s="4" t="s">
        <v>294</v>
      </c>
      <c r="B123" s="4">
        <v>2</v>
      </c>
      <c r="C123" s="4" t="s">
        <v>295</v>
      </c>
      <c r="D123" s="4">
        <v>3</v>
      </c>
    </row>
    <row r="124" spans="1:4">
      <c r="A124" s="4" t="s">
        <v>296</v>
      </c>
      <c r="B124" s="4">
        <v>2</v>
      </c>
      <c r="C124" s="4" t="s">
        <v>297</v>
      </c>
      <c r="D124" s="4">
        <v>3</v>
      </c>
    </row>
    <row r="125" spans="1:4">
      <c r="A125" s="4" t="s">
        <v>298</v>
      </c>
      <c r="B125" s="4">
        <v>2</v>
      </c>
      <c r="C125" s="4" t="s">
        <v>299</v>
      </c>
      <c r="D125" s="4">
        <v>3</v>
      </c>
    </row>
    <row r="126" spans="1:4">
      <c r="A126" s="4" t="s">
        <v>300</v>
      </c>
      <c r="B126" s="4">
        <v>2</v>
      </c>
      <c r="C126" s="4" t="s">
        <v>301</v>
      </c>
      <c r="D126" s="4">
        <v>3</v>
      </c>
    </row>
    <row r="127" spans="1:4">
      <c r="A127" s="4" t="s">
        <v>302</v>
      </c>
      <c r="B127" s="4">
        <v>2</v>
      </c>
      <c r="C127" s="4" t="s">
        <v>193</v>
      </c>
      <c r="D127" s="4">
        <v>3</v>
      </c>
    </row>
    <row r="128" spans="1:4">
      <c r="A128" s="4" t="s">
        <v>143</v>
      </c>
      <c r="B128" s="4">
        <v>2</v>
      </c>
      <c r="C128" s="4" t="s">
        <v>218</v>
      </c>
      <c r="D128" s="4">
        <v>3</v>
      </c>
    </row>
    <row r="129" spans="1:4">
      <c r="A129" s="4" t="s">
        <v>303</v>
      </c>
      <c r="B129" s="4">
        <v>2</v>
      </c>
      <c r="C129" s="4" t="s">
        <v>304</v>
      </c>
      <c r="D129" s="4">
        <v>3</v>
      </c>
    </row>
    <row r="130" spans="1:4">
      <c r="A130" s="4" t="s">
        <v>305</v>
      </c>
      <c r="B130" s="4">
        <v>2</v>
      </c>
      <c r="C130" s="4" t="s">
        <v>306</v>
      </c>
      <c r="D130" s="4">
        <v>3</v>
      </c>
    </row>
    <row r="131" spans="1:4">
      <c r="A131" s="4" t="s">
        <v>307</v>
      </c>
      <c r="B131" s="4">
        <v>2</v>
      </c>
      <c r="C131" s="4" t="s">
        <v>308</v>
      </c>
      <c r="D131" s="4">
        <v>3</v>
      </c>
    </row>
    <row r="132" spans="1:4">
      <c r="A132" s="4" t="s">
        <v>309</v>
      </c>
      <c r="B132" s="4">
        <v>2</v>
      </c>
      <c r="C132" s="4" t="s">
        <v>232</v>
      </c>
      <c r="D132" s="4">
        <v>3</v>
      </c>
    </row>
    <row r="133" spans="1:4">
      <c r="A133" s="4" t="s">
        <v>310</v>
      </c>
      <c r="B133" s="4">
        <v>2</v>
      </c>
      <c r="C133" s="4" t="s">
        <v>311</v>
      </c>
      <c r="D133" s="4">
        <v>3</v>
      </c>
    </row>
    <row r="134" spans="1:4">
      <c r="A134" s="4" t="s">
        <v>312</v>
      </c>
      <c r="B134" s="4">
        <v>2</v>
      </c>
      <c r="C134" s="4" t="s">
        <v>313</v>
      </c>
      <c r="D134" s="4">
        <v>3</v>
      </c>
    </row>
    <row r="135" spans="1:4">
      <c r="A135" s="4" t="s">
        <v>314</v>
      </c>
      <c r="B135" s="4">
        <v>2</v>
      </c>
      <c r="C135" s="4" t="s">
        <v>315</v>
      </c>
      <c r="D135" s="4">
        <v>2</v>
      </c>
    </row>
    <row r="136" spans="1:4">
      <c r="A136" s="4" t="s">
        <v>316</v>
      </c>
      <c r="B136" s="4">
        <v>2</v>
      </c>
      <c r="C136" s="4" t="s">
        <v>317</v>
      </c>
      <c r="D136" s="4">
        <v>2</v>
      </c>
    </row>
    <row r="137" spans="1:4">
      <c r="A137" s="4" t="s">
        <v>318</v>
      </c>
      <c r="B137" s="4">
        <v>2</v>
      </c>
      <c r="C137" s="4" t="s">
        <v>319</v>
      </c>
      <c r="D137" s="4">
        <v>2</v>
      </c>
    </row>
    <row r="138" spans="1:4">
      <c r="A138" s="4" t="s">
        <v>320</v>
      </c>
      <c r="B138" s="4">
        <v>2</v>
      </c>
      <c r="C138" s="4" t="s">
        <v>321</v>
      </c>
      <c r="D138" s="4">
        <v>2</v>
      </c>
    </row>
    <row r="139" spans="1:4">
      <c r="A139" s="4" t="s">
        <v>156</v>
      </c>
      <c r="B139" s="4">
        <v>2</v>
      </c>
      <c r="C139" s="4" t="s">
        <v>322</v>
      </c>
      <c r="D139" s="4">
        <v>2</v>
      </c>
    </row>
    <row r="140" spans="1:4">
      <c r="A140" s="4" t="s">
        <v>323</v>
      </c>
      <c r="B140" s="4">
        <v>2</v>
      </c>
      <c r="C140" s="4" t="s">
        <v>324</v>
      </c>
      <c r="D140" s="4">
        <v>2</v>
      </c>
    </row>
    <row r="141" spans="1:4">
      <c r="A141" s="4" t="s">
        <v>325</v>
      </c>
      <c r="B141" s="4">
        <v>2</v>
      </c>
      <c r="C141" s="4" t="s">
        <v>326</v>
      </c>
      <c r="D141" s="4">
        <v>2</v>
      </c>
    </row>
    <row r="142" spans="1:4">
      <c r="A142" s="4" t="s">
        <v>327</v>
      </c>
      <c r="B142" s="4">
        <v>2</v>
      </c>
      <c r="C142" s="4" t="s">
        <v>328</v>
      </c>
      <c r="D142" s="4">
        <v>2</v>
      </c>
    </row>
    <row r="143" spans="1:4">
      <c r="A143" s="4" t="s">
        <v>329</v>
      </c>
      <c r="B143" s="4">
        <v>2</v>
      </c>
      <c r="C143" s="4" t="s">
        <v>330</v>
      </c>
      <c r="D143" s="4">
        <v>2</v>
      </c>
    </row>
    <row r="144" spans="1:4">
      <c r="A144" s="4" t="s">
        <v>331</v>
      </c>
      <c r="B144" s="4">
        <v>2</v>
      </c>
      <c r="C144" s="4" t="s">
        <v>332</v>
      </c>
      <c r="D144" s="4">
        <v>2</v>
      </c>
    </row>
    <row r="145" spans="1:4">
      <c r="A145" s="4" t="s">
        <v>333</v>
      </c>
      <c r="B145" s="4">
        <v>2</v>
      </c>
      <c r="C145" s="4" t="s">
        <v>334</v>
      </c>
      <c r="D145" s="4">
        <v>2</v>
      </c>
    </row>
    <row r="146" spans="1:4">
      <c r="A146" s="4" t="s">
        <v>335</v>
      </c>
      <c r="B146" s="4">
        <v>2</v>
      </c>
      <c r="C146" s="4" t="s">
        <v>336</v>
      </c>
      <c r="D146" s="4">
        <v>2</v>
      </c>
    </row>
    <row r="147" spans="1:4">
      <c r="A147" s="4" t="s">
        <v>337</v>
      </c>
      <c r="B147" s="4">
        <v>2</v>
      </c>
      <c r="C147" s="4" t="s">
        <v>174</v>
      </c>
      <c r="D147" s="4">
        <v>2</v>
      </c>
    </row>
    <row r="148" spans="1:4">
      <c r="A148" s="4" t="s">
        <v>338</v>
      </c>
      <c r="B148" s="4">
        <v>2</v>
      </c>
      <c r="C148" s="4" t="s">
        <v>339</v>
      </c>
      <c r="D148" s="4">
        <v>2</v>
      </c>
    </row>
    <row r="149" spans="1:4">
      <c r="A149" s="4" t="s">
        <v>340</v>
      </c>
      <c r="B149" s="4">
        <v>2</v>
      </c>
      <c r="C149" s="4" t="s">
        <v>341</v>
      </c>
      <c r="D149" s="4">
        <v>2</v>
      </c>
    </row>
    <row r="150" spans="1:4">
      <c r="A150" s="4" t="s">
        <v>342</v>
      </c>
      <c r="B150" s="4">
        <v>2</v>
      </c>
      <c r="C150" s="4" t="s">
        <v>343</v>
      </c>
      <c r="D150" s="4">
        <v>2</v>
      </c>
    </row>
    <row r="151" spans="1:4">
      <c r="A151" s="4" t="s">
        <v>344</v>
      </c>
      <c r="B151" s="4">
        <v>2</v>
      </c>
      <c r="C151" s="4" t="s">
        <v>345</v>
      </c>
      <c r="D151" s="4">
        <v>2</v>
      </c>
    </row>
    <row r="152" spans="1:4">
      <c r="A152" s="4" t="s">
        <v>346</v>
      </c>
      <c r="B152" s="4">
        <v>2</v>
      </c>
      <c r="C152" s="4" t="s">
        <v>229</v>
      </c>
      <c r="D152" s="4">
        <v>2</v>
      </c>
    </row>
    <row r="153" spans="1:4">
      <c r="A153" s="4" t="s">
        <v>347</v>
      </c>
      <c r="B153" s="4">
        <v>2</v>
      </c>
      <c r="C153" s="4" t="s">
        <v>348</v>
      </c>
      <c r="D153" s="4">
        <v>2</v>
      </c>
    </row>
    <row r="154" spans="1:4">
      <c r="A154" s="4" t="s">
        <v>349</v>
      </c>
      <c r="B154" s="4">
        <v>2</v>
      </c>
      <c r="C154" s="4" t="s">
        <v>310</v>
      </c>
      <c r="D154" s="4">
        <v>2</v>
      </c>
    </row>
    <row r="155" spans="1:4">
      <c r="A155" s="4" t="s">
        <v>350</v>
      </c>
      <c r="B155" s="4">
        <v>2</v>
      </c>
      <c r="C155" s="4" t="s">
        <v>351</v>
      </c>
      <c r="D155" s="4">
        <v>2</v>
      </c>
    </row>
    <row r="156" spans="1:4">
      <c r="A156" s="4" t="s">
        <v>293</v>
      </c>
      <c r="B156" s="4">
        <v>2</v>
      </c>
      <c r="C156" s="4" t="s">
        <v>352</v>
      </c>
      <c r="D156" s="4">
        <v>2</v>
      </c>
    </row>
    <row r="157" spans="1:4">
      <c r="A157" s="4" t="s">
        <v>353</v>
      </c>
      <c r="B157" s="4">
        <v>2</v>
      </c>
      <c r="C157" s="4" t="s">
        <v>354</v>
      </c>
      <c r="D157" s="4">
        <v>2</v>
      </c>
    </row>
    <row r="158" spans="1:4">
      <c r="A158" s="4" t="s">
        <v>355</v>
      </c>
      <c r="B158" s="4">
        <v>2</v>
      </c>
      <c r="C158" s="4" t="s">
        <v>356</v>
      </c>
      <c r="D158" s="4">
        <v>2</v>
      </c>
    </row>
    <row r="159" spans="1:4">
      <c r="A159" s="4" t="s">
        <v>357</v>
      </c>
      <c r="B159" s="4">
        <v>2</v>
      </c>
      <c r="C159" s="4" t="s">
        <v>358</v>
      </c>
      <c r="D159" s="4">
        <v>2</v>
      </c>
    </row>
    <row r="160" spans="1:4">
      <c r="A160" s="4" t="s">
        <v>269</v>
      </c>
      <c r="B160" s="4">
        <v>2</v>
      </c>
      <c r="C160" s="4" t="s">
        <v>359</v>
      </c>
      <c r="D160" s="4">
        <v>2</v>
      </c>
    </row>
    <row r="161" spans="1:4">
      <c r="A161" s="4" t="s">
        <v>360</v>
      </c>
      <c r="B161" s="4">
        <v>2</v>
      </c>
      <c r="C161" s="4" t="s">
        <v>361</v>
      </c>
      <c r="D161" s="4">
        <v>2</v>
      </c>
    </row>
    <row r="162" spans="1:4">
      <c r="A162" s="4" t="s">
        <v>362</v>
      </c>
      <c r="B162" s="4">
        <v>2</v>
      </c>
      <c r="C162" s="4" t="s">
        <v>363</v>
      </c>
      <c r="D162" s="4">
        <v>2</v>
      </c>
    </row>
    <row r="163" spans="1:4">
      <c r="A163" s="4" t="s">
        <v>364</v>
      </c>
      <c r="B163" s="4">
        <v>2</v>
      </c>
      <c r="C163" s="4" t="s">
        <v>365</v>
      </c>
      <c r="D163" s="4">
        <v>2</v>
      </c>
    </row>
    <row r="164" spans="1:4">
      <c r="A164" s="4" t="s">
        <v>366</v>
      </c>
      <c r="B164" s="4">
        <v>2</v>
      </c>
      <c r="C164" s="4" t="s">
        <v>367</v>
      </c>
      <c r="D164" s="4">
        <v>2</v>
      </c>
    </row>
    <row r="165" spans="1:4">
      <c r="A165" s="4" t="s">
        <v>368</v>
      </c>
      <c r="B165" s="4">
        <v>2</v>
      </c>
      <c r="C165" s="4" t="s">
        <v>369</v>
      </c>
      <c r="D165" s="4">
        <v>2</v>
      </c>
    </row>
    <row r="166" spans="1:4">
      <c r="A166" s="4" t="s">
        <v>370</v>
      </c>
      <c r="B166" s="4">
        <v>2</v>
      </c>
      <c r="C166" s="4" t="s">
        <v>371</v>
      </c>
      <c r="D166" s="4">
        <v>2</v>
      </c>
    </row>
    <row r="167" spans="1:4">
      <c r="A167" s="4" t="s">
        <v>372</v>
      </c>
      <c r="B167" s="4">
        <v>2</v>
      </c>
      <c r="C167" s="4" t="s">
        <v>373</v>
      </c>
      <c r="D167" s="4">
        <v>2</v>
      </c>
    </row>
    <row r="168" spans="1:4">
      <c r="A168" s="4" t="s">
        <v>374</v>
      </c>
      <c r="B168" s="4">
        <v>2</v>
      </c>
      <c r="C168" s="4" t="s">
        <v>375</v>
      </c>
      <c r="D168" s="4">
        <v>2</v>
      </c>
    </row>
    <row r="169" spans="1:4">
      <c r="A169" s="4" t="s">
        <v>376</v>
      </c>
      <c r="B169" s="4">
        <v>2</v>
      </c>
      <c r="C169" s="4" t="s">
        <v>377</v>
      </c>
      <c r="D169" s="4">
        <v>2</v>
      </c>
    </row>
    <row r="170" spans="1:4">
      <c r="A170" s="4" t="s">
        <v>378</v>
      </c>
      <c r="B170" s="4">
        <v>1</v>
      </c>
      <c r="C170" s="4" t="s">
        <v>238</v>
      </c>
      <c r="D170" s="4">
        <v>2</v>
      </c>
    </row>
    <row r="171" spans="1:4">
      <c r="A171" s="4" t="s">
        <v>379</v>
      </c>
      <c r="B171" s="4">
        <v>1</v>
      </c>
      <c r="C171" s="4" t="s">
        <v>380</v>
      </c>
      <c r="D171" s="4">
        <v>2</v>
      </c>
    </row>
    <row r="172" spans="1:4">
      <c r="A172" s="4" t="s">
        <v>381</v>
      </c>
      <c r="B172" s="4">
        <v>1</v>
      </c>
      <c r="C172" s="4" t="s">
        <v>382</v>
      </c>
      <c r="D172" s="4">
        <v>2</v>
      </c>
    </row>
    <row r="173" spans="1:4">
      <c r="A173" s="4" t="s">
        <v>383</v>
      </c>
      <c r="B173" s="4">
        <v>1</v>
      </c>
      <c r="C173" s="4" t="s">
        <v>384</v>
      </c>
      <c r="D173" s="4">
        <v>2</v>
      </c>
    </row>
    <row r="174" spans="1:4">
      <c r="A174" s="4" t="s">
        <v>385</v>
      </c>
      <c r="B174" s="4">
        <v>1</v>
      </c>
      <c r="C174" s="4" t="s">
        <v>386</v>
      </c>
      <c r="D174" s="4">
        <v>2</v>
      </c>
    </row>
    <row r="175" spans="1:4">
      <c r="A175" s="4" t="s">
        <v>387</v>
      </c>
      <c r="B175" s="4">
        <v>1</v>
      </c>
      <c r="C175" s="4" t="s">
        <v>388</v>
      </c>
      <c r="D175" s="4">
        <v>2</v>
      </c>
    </row>
    <row r="176" spans="1:4">
      <c r="A176" s="4" t="s">
        <v>389</v>
      </c>
      <c r="B176" s="4">
        <v>1</v>
      </c>
      <c r="C176" s="4" t="s">
        <v>390</v>
      </c>
      <c r="D176" s="4">
        <v>2</v>
      </c>
    </row>
    <row r="177" spans="1:4">
      <c r="A177" s="4" t="s">
        <v>391</v>
      </c>
      <c r="B177" s="4">
        <v>1</v>
      </c>
      <c r="C177" s="4" t="s">
        <v>392</v>
      </c>
      <c r="D177" s="4">
        <v>2</v>
      </c>
    </row>
    <row r="178" spans="1:4">
      <c r="A178" s="4" t="s">
        <v>393</v>
      </c>
      <c r="B178" s="4">
        <v>1</v>
      </c>
      <c r="C178" s="4" t="s">
        <v>394</v>
      </c>
      <c r="D178" s="4">
        <v>2</v>
      </c>
    </row>
    <row r="179" spans="1:4">
      <c r="A179" s="4" t="s">
        <v>395</v>
      </c>
      <c r="B179" s="4">
        <v>1</v>
      </c>
      <c r="C179" s="4" t="s">
        <v>396</v>
      </c>
      <c r="D179" s="4">
        <v>2</v>
      </c>
    </row>
    <row r="180" spans="1:4">
      <c r="A180" s="4" t="s">
        <v>397</v>
      </c>
      <c r="B180" s="4">
        <v>1</v>
      </c>
      <c r="C180" s="4" t="s">
        <v>398</v>
      </c>
      <c r="D180" s="4">
        <v>2</v>
      </c>
    </row>
    <row r="181" spans="1:4">
      <c r="A181" s="4" t="s">
        <v>399</v>
      </c>
      <c r="B181" s="4">
        <v>1</v>
      </c>
      <c r="C181" s="4" t="s">
        <v>400</v>
      </c>
      <c r="D181" s="4">
        <v>2</v>
      </c>
    </row>
    <row r="182" spans="1:4">
      <c r="A182" s="4" t="s">
        <v>401</v>
      </c>
      <c r="B182" s="4">
        <v>1</v>
      </c>
      <c r="C182" s="4" t="s">
        <v>402</v>
      </c>
      <c r="D182" s="4">
        <v>2</v>
      </c>
    </row>
    <row r="183" spans="1:4">
      <c r="A183" s="4" t="s">
        <v>403</v>
      </c>
      <c r="B183" s="4">
        <v>1</v>
      </c>
      <c r="C183" s="4" t="s">
        <v>404</v>
      </c>
      <c r="D183" s="4">
        <v>2</v>
      </c>
    </row>
    <row r="184" spans="1:4">
      <c r="A184" s="4" t="s">
        <v>405</v>
      </c>
      <c r="B184" s="4">
        <v>1</v>
      </c>
      <c r="C184" s="4" t="s">
        <v>406</v>
      </c>
      <c r="D184" s="4">
        <v>2</v>
      </c>
    </row>
    <row r="185" spans="1:4">
      <c r="A185" s="4" t="s">
        <v>407</v>
      </c>
      <c r="B185" s="4">
        <v>1</v>
      </c>
      <c r="C185" s="4" t="s">
        <v>408</v>
      </c>
      <c r="D185" s="4">
        <v>2</v>
      </c>
    </row>
    <row r="186" spans="1:4">
      <c r="A186" s="4" t="s">
        <v>409</v>
      </c>
      <c r="B186" s="4">
        <v>1</v>
      </c>
      <c r="C186" s="4" t="s">
        <v>410</v>
      </c>
      <c r="D186" s="4">
        <v>2</v>
      </c>
    </row>
    <row r="187" spans="1:4">
      <c r="A187" s="4" t="s">
        <v>411</v>
      </c>
      <c r="B187" s="4">
        <v>1</v>
      </c>
      <c r="C187" s="4" t="s">
        <v>412</v>
      </c>
      <c r="D187" s="4">
        <v>2</v>
      </c>
    </row>
    <row r="188" spans="1:4">
      <c r="A188" s="4" t="s">
        <v>413</v>
      </c>
      <c r="B188" s="4">
        <v>1</v>
      </c>
      <c r="C188" s="4" t="s">
        <v>414</v>
      </c>
      <c r="D188" s="4">
        <v>2</v>
      </c>
    </row>
    <row r="189" spans="1:4">
      <c r="A189" s="4" t="s">
        <v>415</v>
      </c>
      <c r="B189" s="4">
        <v>1</v>
      </c>
      <c r="C189" s="4" t="s">
        <v>416</v>
      </c>
      <c r="D189" s="4">
        <v>2</v>
      </c>
    </row>
    <row r="190" spans="1:4">
      <c r="A190" s="4" t="s">
        <v>417</v>
      </c>
      <c r="B190" s="4">
        <v>1</v>
      </c>
      <c r="C190" s="4" t="s">
        <v>418</v>
      </c>
      <c r="D190" s="4">
        <v>2</v>
      </c>
    </row>
    <row r="191" spans="1:4">
      <c r="A191" s="4" t="s">
        <v>419</v>
      </c>
      <c r="B191" s="4">
        <v>1</v>
      </c>
      <c r="C191" s="4" t="s">
        <v>420</v>
      </c>
      <c r="D191" s="4">
        <v>2</v>
      </c>
    </row>
    <row r="192" spans="1:4">
      <c r="A192" s="4" t="s">
        <v>421</v>
      </c>
      <c r="B192" s="4">
        <v>1</v>
      </c>
      <c r="C192" s="4" t="s">
        <v>422</v>
      </c>
      <c r="D192" s="4">
        <v>2</v>
      </c>
    </row>
    <row r="193" spans="1:4">
      <c r="A193" s="4" t="s">
        <v>423</v>
      </c>
      <c r="B193" s="4">
        <v>1</v>
      </c>
      <c r="C193" s="4" t="s">
        <v>296</v>
      </c>
      <c r="D193" s="4">
        <v>2</v>
      </c>
    </row>
    <row r="194" spans="1:4">
      <c r="A194" s="4" t="s">
        <v>424</v>
      </c>
      <c r="B194" s="4">
        <v>1</v>
      </c>
      <c r="C194" s="4" t="s">
        <v>204</v>
      </c>
      <c r="D194" s="4">
        <v>2</v>
      </c>
    </row>
    <row r="195" spans="1:4">
      <c r="A195" s="4" t="s">
        <v>425</v>
      </c>
      <c r="B195" s="4">
        <v>1</v>
      </c>
      <c r="C195" s="4" t="s">
        <v>426</v>
      </c>
      <c r="D195" s="4">
        <v>2</v>
      </c>
    </row>
    <row r="196" spans="1:4">
      <c r="A196" s="4" t="s">
        <v>427</v>
      </c>
      <c r="B196" s="4">
        <v>1</v>
      </c>
      <c r="C196" s="4" t="s">
        <v>428</v>
      </c>
      <c r="D196" s="4">
        <v>2</v>
      </c>
    </row>
    <row r="197" spans="1:4">
      <c r="A197" s="4" t="s">
        <v>287</v>
      </c>
      <c r="B197" s="4">
        <v>1</v>
      </c>
      <c r="C197" s="4" t="s">
        <v>429</v>
      </c>
      <c r="D197" s="4">
        <v>2</v>
      </c>
    </row>
    <row r="198" spans="1:4">
      <c r="A198" s="4" t="s">
        <v>430</v>
      </c>
      <c r="B198" s="4">
        <v>1</v>
      </c>
      <c r="C198" s="4" t="s">
        <v>184</v>
      </c>
      <c r="D198" s="4">
        <v>2</v>
      </c>
    </row>
    <row r="199" spans="1:4">
      <c r="A199" s="4" t="s">
        <v>431</v>
      </c>
      <c r="B199" s="4">
        <v>1</v>
      </c>
      <c r="C199" s="4" t="s">
        <v>432</v>
      </c>
      <c r="D199" s="4">
        <v>2</v>
      </c>
    </row>
    <row r="200" spans="1:4">
      <c r="A200" s="4" t="s">
        <v>433</v>
      </c>
      <c r="B200" s="4">
        <v>1</v>
      </c>
      <c r="C200" s="4" t="s">
        <v>434</v>
      </c>
      <c r="D200" s="4">
        <v>2</v>
      </c>
    </row>
    <row r="201" spans="1:4">
      <c r="A201" s="4" t="s">
        <v>435</v>
      </c>
      <c r="B201" s="4">
        <v>1</v>
      </c>
      <c r="C201" s="4" t="s">
        <v>436</v>
      </c>
      <c r="D201" s="4">
        <v>2</v>
      </c>
    </row>
    <row r="202" spans="1:4">
      <c r="A202" s="4" t="s">
        <v>241</v>
      </c>
      <c r="B202" s="4">
        <v>1</v>
      </c>
      <c r="C202" s="4" t="s">
        <v>437</v>
      </c>
      <c r="D202" s="4">
        <v>2</v>
      </c>
    </row>
    <row r="203" spans="1:4">
      <c r="A203" s="4" t="s">
        <v>438</v>
      </c>
      <c r="B203" s="4">
        <v>1</v>
      </c>
      <c r="C203" s="4" t="s">
        <v>207</v>
      </c>
      <c r="D203" s="4">
        <v>2</v>
      </c>
    </row>
    <row r="204" spans="1:4">
      <c r="A204" s="4" t="s">
        <v>439</v>
      </c>
      <c r="B204" s="4">
        <v>1</v>
      </c>
      <c r="C204" s="4" t="s">
        <v>440</v>
      </c>
      <c r="D204" s="4">
        <v>2</v>
      </c>
    </row>
    <row r="205" spans="1:4">
      <c r="A205" s="4" t="s">
        <v>441</v>
      </c>
      <c r="B205" s="4">
        <v>1</v>
      </c>
      <c r="C205" s="4" t="s">
        <v>442</v>
      </c>
      <c r="D205" s="4">
        <v>2</v>
      </c>
    </row>
    <row r="206" spans="1:4">
      <c r="A206" s="4" t="s">
        <v>443</v>
      </c>
      <c r="B206" s="4">
        <v>1</v>
      </c>
      <c r="C206" s="4" t="s">
        <v>444</v>
      </c>
      <c r="D206" s="4">
        <v>2</v>
      </c>
    </row>
    <row r="207" spans="1:4">
      <c r="A207" s="4" t="s">
        <v>445</v>
      </c>
      <c r="B207" s="4">
        <v>1</v>
      </c>
      <c r="C207" s="4" t="s">
        <v>446</v>
      </c>
      <c r="D207" s="4">
        <v>2</v>
      </c>
    </row>
    <row r="208" spans="1:4">
      <c r="A208" s="4" t="s">
        <v>447</v>
      </c>
      <c r="B208" s="4">
        <v>1</v>
      </c>
      <c r="C208" s="4" t="s">
        <v>448</v>
      </c>
      <c r="D208" s="4">
        <v>2</v>
      </c>
    </row>
    <row r="209" spans="1:4">
      <c r="A209" s="4" t="s">
        <v>449</v>
      </c>
      <c r="B209" s="4">
        <v>1</v>
      </c>
      <c r="C209" s="4" t="s">
        <v>450</v>
      </c>
      <c r="D209" s="4">
        <v>2</v>
      </c>
    </row>
    <row r="210" spans="1:4">
      <c r="A210" s="4" t="s">
        <v>451</v>
      </c>
      <c r="B210" s="4">
        <v>1</v>
      </c>
      <c r="C210" s="4" t="s">
        <v>452</v>
      </c>
      <c r="D210" s="4">
        <v>2</v>
      </c>
    </row>
    <row r="211" spans="1:4">
      <c r="A211" s="4" t="s">
        <v>246</v>
      </c>
      <c r="B211" s="4">
        <v>1</v>
      </c>
      <c r="C211" s="4" t="s">
        <v>453</v>
      </c>
      <c r="D211" s="4">
        <v>2</v>
      </c>
    </row>
    <row r="212" spans="1:4">
      <c r="A212" s="4" t="s">
        <v>454</v>
      </c>
      <c r="B212" s="4">
        <v>1</v>
      </c>
      <c r="C212" s="4" t="s">
        <v>455</v>
      </c>
      <c r="D212" s="4">
        <v>2</v>
      </c>
    </row>
    <row r="213" spans="1:4">
      <c r="A213" s="4" t="s">
        <v>456</v>
      </c>
      <c r="B213" s="4">
        <v>1</v>
      </c>
      <c r="C213" s="4" t="s">
        <v>457</v>
      </c>
      <c r="D213" s="4">
        <v>2</v>
      </c>
    </row>
    <row r="214" spans="1:4">
      <c r="A214" s="4" t="s">
        <v>458</v>
      </c>
      <c r="B214" s="4">
        <v>1</v>
      </c>
      <c r="C214" s="4" t="s">
        <v>459</v>
      </c>
      <c r="D214" s="4">
        <v>2</v>
      </c>
    </row>
    <row r="215" spans="1:4">
      <c r="A215" s="4" t="s">
        <v>460</v>
      </c>
      <c r="B215" s="4">
        <v>1</v>
      </c>
      <c r="C215" s="4" t="s">
        <v>461</v>
      </c>
      <c r="D215" s="4">
        <v>2</v>
      </c>
    </row>
    <row r="216" spans="1:4">
      <c r="A216" s="4" t="s">
        <v>462</v>
      </c>
      <c r="B216" s="4">
        <v>1</v>
      </c>
      <c r="C216" s="4" t="s">
        <v>463</v>
      </c>
      <c r="D216" s="4">
        <v>2</v>
      </c>
    </row>
    <row r="217" spans="1:4">
      <c r="A217" s="4" t="s">
        <v>464</v>
      </c>
      <c r="B217" s="4">
        <v>1</v>
      </c>
      <c r="C217" s="4" t="s">
        <v>362</v>
      </c>
      <c r="D217" s="4">
        <v>2</v>
      </c>
    </row>
    <row r="218" spans="1:4">
      <c r="A218" s="4" t="s">
        <v>465</v>
      </c>
      <c r="B218" s="4">
        <v>1</v>
      </c>
      <c r="C218" s="4" t="s">
        <v>466</v>
      </c>
      <c r="D218" s="4">
        <v>2</v>
      </c>
    </row>
    <row r="219" spans="1:4">
      <c r="A219" s="4" t="s">
        <v>467</v>
      </c>
      <c r="B219" s="4">
        <v>1</v>
      </c>
      <c r="C219" s="4" t="s">
        <v>468</v>
      </c>
      <c r="D219" s="4">
        <v>2</v>
      </c>
    </row>
    <row r="220" spans="1:4">
      <c r="A220" s="4" t="s">
        <v>469</v>
      </c>
      <c r="B220" s="4">
        <v>1</v>
      </c>
      <c r="C220" s="4" t="s">
        <v>273</v>
      </c>
      <c r="D220" s="4">
        <v>2</v>
      </c>
    </row>
    <row r="221" spans="1:4">
      <c r="A221" s="4" t="s">
        <v>470</v>
      </c>
      <c r="B221" s="4">
        <v>1</v>
      </c>
      <c r="C221" s="4" t="s">
        <v>337</v>
      </c>
      <c r="D221" s="4">
        <v>2</v>
      </c>
    </row>
    <row r="222" spans="1:4">
      <c r="A222" s="4" t="s">
        <v>471</v>
      </c>
      <c r="B222" s="4">
        <v>1</v>
      </c>
      <c r="C222" s="4" t="s">
        <v>472</v>
      </c>
      <c r="D222" s="4">
        <v>2</v>
      </c>
    </row>
    <row r="223" spans="1:4">
      <c r="A223" s="4" t="s">
        <v>473</v>
      </c>
      <c r="B223" s="4">
        <v>1</v>
      </c>
      <c r="C223" s="4" t="s">
        <v>474</v>
      </c>
      <c r="D223" s="4">
        <v>2</v>
      </c>
    </row>
    <row r="224" spans="1:4">
      <c r="A224" s="4" t="s">
        <v>475</v>
      </c>
      <c r="B224" s="4">
        <v>1</v>
      </c>
      <c r="C224" s="4" t="s">
        <v>476</v>
      </c>
      <c r="D224" s="4">
        <v>2</v>
      </c>
    </row>
    <row r="225" spans="1:4">
      <c r="A225" s="4" t="s">
        <v>477</v>
      </c>
      <c r="B225" s="4">
        <v>1</v>
      </c>
      <c r="C225" s="4" t="s">
        <v>478</v>
      </c>
      <c r="D225" s="4">
        <v>2</v>
      </c>
    </row>
    <row r="226" spans="1:4">
      <c r="A226" s="4" t="s">
        <v>479</v>
      </c>
      <c r="B226" s="4">
        <v>1</v>
      </c>
      <c r="C226" s="4" t="s">
        <v>480</v>
      </c>
      <c r="D226" s="4">
        <v>2</v>
      </c>
    </row>
    <row r="227" spans="1:4">
      <c r="A227" s="4" t="s">
        <v>481</v>
      </c>
      <c r="B227" s="4">
        <v>1</v>
      </c>
      <c r="C227" s="4" t="s">
        <v>482</v>
      </c>
      <c r="D227" s="4">
        <v>2</v>
      </c>
    </row>
    <row r="228" spans="1:4">
      <c r="A228" s="4" t="s">
        <v>483</v>
      </c>
      <c r="B228" s="4">
        <v>1</v>
      </c>
      <c r="C228" s="4" t="s">
        <v>484</v>
      </c>
      <c r="D228" s="4">
        <v>2</v>
      </c>
    </row>
    <row r="229" spans="1:4">
      <c r="A229" s="4" t="s">
        <v>485</v>
      </c>
      <c r="B229" s="4">
        <v>1</v>
      </c>
      <c r="C229" s="4" t="s">
        <v>486</v>
      </c>
      <c r="D229" s="4">
        <v>2</v>
      </c>
    </row>
    <row r="230" spans="1:4">
      <c r="A230" s="4" t="s">
        <v>487</v>
      </c>
      <c r="B230" s="4">
        <v>1</v>
      </c>
      <c r="C230" s="4" t="s">
        <v>488</v>
      </c>
      <c r="D230" s="4">
        <v>2</v>
      </c>
    </row>
    <row r="231" spans="1:4">
      <c r="A231" s="4" t="s">
        <v>351</v>
      </c>
      <c r="B231" s="4">
        <v>1</v>
      </c>
      <c r="C231" s="4" t="s">
        <v>489</v>
      </c>
      <c r="D231" s="4">
        <v>2</v>
      </c>
    </row>
    <row r="232" spans="1:4">
      <c r="A232" s="4" t="s">
        <v>490</v>
      </c>
      <c r="B232" s="4">
        <v>1</v>
      </c>
      <c r="C232" s="4" t="s">
        <v>491</v>
      </c>
      <c r="D232" s="4">
        <v>2</v>
      </c>
    </row>
    <row r="233" spans="1:4">
      <c r="A233" s="4" t="s">
        <v>492</v>
      </c>
      <c r="B233" s="4">
        <v>1</v>
      </c>
      <c r="C233" s="4" t="s">
        <v>493</v>
      </c>
      <c r="D233" s="4">
        <v>2</v>
      </c>
    </row>
    <row r="234" spans="1:4">
      <c r="A234" s="4" t="s">
        <v>494</v>
      </c>
      <c r="B234" s="4">
        <v>1</v>
      </c>
      <c r="C234" s="4" t="s">
        <v>495</v>
      </c>
      <c r="D234" s="4">
        <v>2</v>
      </c>
    </row>
    <row r="235" spans="1:4">
      <c r="A235" s="4" t="s">
        <v>496</v>
      </c>
      <c r="B235" s="4">
        <v>1</v>
      </c>
      <c r="C235" s="4" t="s">
        <v>497</v>
      </c>
      <c r="D235" s="4">
        <v>2</v>
      </c>
    </row>
    <row r="236" spans="1:4">
      <c r="A236" s="4" t="s">
        <v>498</v>
      </c>
      <c r="B236" s="4">
        <v>1</v>
      </c>
      <c r="C236" s="4" t="s">
        <v>499</v>
      </c>
      <c r="D236" s="4">
        <v>2</v>
      </c>
    </row>
    <row r="237" spans="1:4">
      <c r="A237" s="4" t="s">
        <v>500</v>
      </c>
      <c r="B237" s="4">
        <v>1</v>
      </c>
      <c r="C237" s="4" t="s">
        <v>501</v>
      </c>
      <c r="D237" s="4">
        <v>2</v>
      </c>
    </row>
    <row r="238" spans="1:4">
      <c r="A238" s="4" t="s">
        <v>502</v>
      </c>
      <c r="B238" s="4">
        <v>1</v>
      </c>
      <c r="C238" s="4" t="s">
        <v>503</v>
      </c>
      <c r="D238" s="4">
        <v>2</v>
      </c>
    </row>
    <row r="239" spans="1:4">
      <c r="A239" s="4" t="s">
        <v>504</v>
      </c>
      <c r="B239" s="4">
        <v>1</v>
      </c>
      <c r="C239" s="4" t="s">
        <v>257</v>
      </c>
      <c r="D239" s="4">
        <v>2</v>
      </c>
    </row>
    <row r="240" spans="1:4">
      <c r="A240" s="4" t="s">
        <v>505</v>
      </c>
      <c r="B240" s="4">
        <v>1</v>
      </c>
      <c r="C240" s="4" t="s">
        <v>506</v>
      </c>
      <c r="D240" s="4">
        <v>2</v>
      </c>
    </row>
    <row r="241" spans="1:4">
      <c r="A241" s="4" t="s">
        <v>507</v>
      </c>
      <c r="B241" s="4">
        <v>1</v>
      </c>
      <c r="C241" s="4" t="s">
        <v>508</v>
      </c>
      <c r="D241" s="4">
        <v>1</v>
      </c>
    </row>
    <row r="242" spans="1:4">
      <c r="A242" s="4" t="s">
        <v>509</v>
      </c>
      <c r="B242" s="4">
        <v>1</v>
      </c>
      <c r="C242" s="4" t="s">
        <v>510</v>
      </c>
      <c r="D242" s="4">
        <v>1</v>
      </c>
    </row>
    <row r="243" spans="1:4">
      <c r="A243" s="4" t="s">
        <v>511</v>
      </c>
      <c r="B243" s="4">
        <v>1</v>
      </c>
      <c r="C243" s="4" t="s">
        <v>264</v>
      </c>
      <c r="D243" s="4">
        <v>1</v>
      </c>
    </row>
    <row r="244" spans="1:4">
      <c r="A244" s="4" t="s">
        <v>512</v>
      </c>
      <c r="B244" s="4">
        <v>1</v>
      </c>
      <c r="C244" s="4" t="s">
        <v>513</v>
      </c>
      <c r="D244" s="4">
        <v>1</v>
      </c>
    </row>
    <row r="245" spans="1:4">
      <c r="A245" s="4" t="s">
        <v>452</v>
      </c>
      <c r="B245" s="4">
        <v>1</v>
      </c>
      <c r="C245" s="4" t="s">
        <v>514</v>
      </c>
      <c r="D245" s="4">
        <v>1</v>
      </c>
    </row>
    <row r="246" spans="1:4">
      <c r="A246" s="4" t="s">
        <v>515</v>
      </c>
      <c r="B246" s="4">
        <v>1</v>
      </c>
      <c r="C246" s="4" t="s">
        <v>516</v>
      </c>
      <c r="D246" s="4">
        <v>1</v>
      </c>
    </row>
    <row r="247" spans="1:4">
      <c r="A247" s="4" t="s">
        <v>429</v>
      </c>
      <c r="B247" s="4">
        <v>1</v>
      </c>
      <c r="C247" s="4" t="s">
        <v>517</v>
      </c>
      <c r="D247" s="4">
        <v>1</v>
      </c>
    </row>
    <row r="248" spans="1:4">
      <c r="A248" s="4" t="s">
        <v>518</v>
      </c>
      <c r="B248" s="4">
        <v>1</v>
      </c>
      <c r="C248" s="4" t="s">
        <v>519</v>
      </c>
      <c r="D248" s="4">
        <v>1</v>
      </c>
    </row>
    <row r="249" spans="1:4">
      <c r="A249" s="4" t="s">
        <v>520</v>
      </c>
      <c r="B249" s="4">
        <v>1</v>
      </c>
      <c r="C249" s="4" t="s">
        <v>521</v>
      </c>
      <c r="D249" s="4">
        <v>1</v>
      </c>
    </row>
    <row r="250" spans="1:4">
      <c r="A250" s="4" t="s">
        <v>522</v>
      </c>
      <c r="B250" s="4">
        <v>1</v>
      </c>
      <c r="C250" s="4" t="s">
        <v>523</v>
      </c>
      <c r="D250" s="4">
        <v>1</v>
      </c>
    </row>
    <row r="251" spans="1:4">
      <c r="A251" s="4" t="s">
        <v>524</v>
      </c>
      <c r="B251" s="4">
        <v>1</v>
      </c>
      <c r="C251" s="4" t="s">
        <v>525</v>
      </c>
      <c r="D251" s="4">
        <v>1</v>
      </c>
    </row>
    <row r="252" spans="1:4">
      <c r="A252" s="4" t="s">
        <v>526</v>
      </c>
      <c r="B252" s="4">
        <v>1</v>
      </c>
      <c r="C252" s="4" t="s">
        <v>527</v>
      </c>
      <c r="D252" s="4">
        <v>1</v>
      </c>
    </row>
    <row r="253" spans="1:4">
      <c r="A253" s="4" t="s">
        <v>308</v>
      </c>
      <c r="B253" s="4">
        <v>1</v>
      </c>
      <c r="C253" s="4" t="s">
        <v>528</v>
      </c>
      <c r="D253" s="4">
        <v>1</v>
      </c>
    </row>
    <row r="254" spans="1:4">
      <c r="A254" s="4" t="s">
        <v>529</v>
      </c>
      <c r="B254" s="4">
        <v>1</v>
      </c>
      <c r="C254" s="4" t="s">
        <v>530</v>
      </c>
      <c r="D254" s="4">
        <v>1</v>
      </c>
    </row>
    <row r="255" spans="1:4">
      <c r="A255" s="4" t="s">
        <v>531</v>
      </c>
      <c r="B255" s="4">
        <v>1</v>
      </c>
      <c r="C255" s="4" t="s">
        <v>532</v>
      </c>
      <c r="D255" s="4">
        <v>1</v>
      </c>
    </row>
    <row r="256" spans="1:4">
      <c r="A256" s="4" t="s">
        <v>533</v>
      </c>
      <c r="B256" s="4">
        <v>1</v>
      </c>
      <c r="C256" s="4" t="s">
        <v>534</v>
      </c>
      <c r="D256" s="4">
        <v>1</v>
      </c>
    </row>
    <row r="257" spans="1:4">
      <c r="A257" s="4" t="s">
        <v>535</v>
      </c>
      <c r="B257" s="4">
        <v>1</v>
      </c>
      <c r="C257" s="4" t="s">
        <v>536</v>
      </c>
      <c r="D257" s="4">
        <v>1</v>
      </c>
    </row>
    <row r="258" spans="1:4">
      <c r="A258" s="4" t="s">
        <v>394</v>
      </c>
      <c r="B258" s="4">
        <v>1</v>
      </c>
      <c r="C258" s="4" t="s">
        <v>537</v>
      </c>
      <c r="D258" s="4">
        <v>1</v>
      </c>
    </row>
    <row r="259" spans="1:4">
      <c r="A259" s="4" t="s">
        <v>538</v>
      </c>
      <c r="B259" s="4">
        <v>1</v>
      </c>
      <c r="C259" s="4" t="s">
        <v>539</v>
      </c>
      <c r="D259" s="4">
        <v>1</v>
      </c>
    </row>
    <row r="260" spans="1:4">
      <c r="A260" s="4" t="s">
        <v>540</v>
      </c>
      <c r="B260" s="4">
        <v>1</v>
      </c>
      <c r="C260" s="4" t="s">
        <v>541</v>
      </c>
      <c r="D260" s="4">
        <v>1</v>
      </c>
    </row>
    <row r="261" spans="1:4">
      <c r="A261" s="4" t="s">
        <v>542</v>
      </c>
      <c r="B261" s="4">
        <v>1</v>
      </c>
      <c r="C261" s="4" t="s">
        <v>543</v>
      </c>
      <c r="D261" s="4">
        <v>1</v>
      </c>
    </row>
    <row r="262" spans="1:4">
      <c r="A262" s="4" t="s">
        <v>544</v>
      </c>
      <c r="B262" s="4">
        <v>1</v>
      </c>
      <c r="C262" s="4" t="s">
        <v>545</v>
      </c>
      <c r="D262" s="4">
        <v>1</v>
      </c>
    </row>
    <row r="263" spans="1:4">
      <c r="A263" s="4" t="s">
        <v>546</v>
      </c>
      <c r="B263" s="4">
        <v>1</v>
      </c>
      <c r="C263" s="4" t="s">
        <v>547</v>
      </c>
      <c r="D263" s="4">
        <v>1</v>
      </c>
    </row>
    <row r="264" spans="1:4">
      <c r="A264" s="4" t="s">
        <v>548</v>
      </c>
      <c r="B264" s="4">
        <v>1</v>
      </c>
      <c r="C264" s="4" t="s">
        <v>549</v>
      </c>
      <c r="D264" s="4">
        <v>1</v>
      </c>
    </row>
    <row r="265" spans="1:4">
      <c r="A265" s="4" t="s">
        <v>550</v>
      </c>
      <c r="B265" s="4">
        <v>1</v>
      </c>
      <c r="C265" s="4" t="s">
        <v>551</v>
      </c>
      <c r="D265" s="4">
        <v>1</v>
      </c>
    </row>
    <row r="266" spans="1:4">
      <c r="A266" s="4" t="s">
        <v>552</v>
      </c>
      <c r="B266" s="4">
        <v>1</v>
      </c>
      <c r="C266" s="4" t="s">
        <v>553</v>
      </c>
      <c r="D266" s="4">
        <v>1</v>
      </c>
    </row>
    <row r="267" spans="1:4">
      <c r="A267" s="4" t="s">
        <v>554</v>
      </c>
      <c r="B267" s="4">
        <v>1</v>
      </c>
      <c r="C267" s="4" t="s">
        <v>555</v>
      </c>
      <c r="D267" s="4">
        <v>1</v>
      </c>
    </row>
    <row r="268" spans="1:4">
      <c r="A268" s="4" t="s">
        <v>556</v>
      </c>
      <c r="B268" s="4">
        <v>1</v>
      </c>
      <c r="C268" s="4" t="s">
        <v>557</v>
      </c>
      <c r="D268" s="4">
        <v>1</v>
      </c>
    </row>
    <row r="269" spans="1:4">
      <c r="A269" s="4" t="s">
        <v>558</v>
      </c>
      <c r="B269" s="4">
        <v>1</v>
      </c>
      <c r="C269" s="4" t="s">
        <v>559</v>
      </c>
      <c r="D269" s="4">
        <v>1</v>
      </c>
    </row>
    <row r="270" spans="1:4">
      <c r="A270" s="4" t="s">
        <v>560</v>
      </c>
      <c r="B270" s="4">
        <v>1</v>
      </c>
      <c r="C270" s="4" t="s">
        <v>561</v>
      </c>
      <c r="D270" s="4">
        <v>1</v>
      </c>
    </row>
    <row r="271" spans="1:4">
      <c r="A271" s="4" t="s">
        <v>562</v>
      </c>
      <c r="B271" s="4">
        <v>1</v>
      </c>
      <c r="C271" s="4" t="s">
        <v>563</v>
      </c>
      <c r="D271" s="4">
        <v>1</v>
      </c>
    </row>
    <row r="272" spans="1:4">
      <c r="A272" s="4" t="s">
        <v>564</v>
      </c>
      <c r="B272" s="4">
        <v>1</v>
      </c>
      <c r="C272" s="4" t="s">
        <v>548</v>
      </c>
      <c r="D272" s="4">
        <v>1</v>
      </c>
    </row>
    <row r="273" spans="1:4">
      <c r="A273" s="4" t="s">
        <v>283</v>
      </c>
      <c r="B273" s="4">
        <v>1</v>
      </c>
      <c r="C273" s="4" t="s">
        <v>565</v>
      </c>
      <c r="D273" s="4">
        <v>1</v>
      </c>
    </row>
    <row r="274" spans="1:4">
      <c r="A274" s="4" t="s">
        <v>566</v>
      </c>
      <c r="B274" s="4">
        <v>1</v>
      </c>
      <c r="C274" s="4" t="s">
        <v>567</v>
      </c>
      <c r="D274" s="4">
        <v>1</v>
      </c>
    </row>
    <row r="275" spans="1:4">
      <c r="A275" s="4" t="s">
        <v>568</v>
      </c>
      <c r="B275" s="4">
        <v>1</v>
      </c>
      <c r="C275" s="4" t="s">
        <v>569</v>
      </c>
      <c r="D275" s="4">
        <v>1</v>
      </c>
    </row>
    <row r="276" spans="1:4">
      <c r="A276" s="4" t="s">
        <v>570</v>
      </c>
      <c r="B276" s="4">
        <v>1</v>
      </c>
      <c r="C276" s="4" t="s">
        <v>571</v>
      </c>
      <c r="D276" s="4">
        <v>1</v>
      </c>
    </row>
    <row r="277" spans="1:4">
      <c r="A277" s="4" t="s">
        <v>572</v>
      </c>
      <c r="B277" s="4">
        <v>1</v>
      </c>
      <c r="C277" s="4" t="s">
        <v>573</v>
      </c>
      <c r="D277" s="4">
        <v>1</v>
      </c>
    </row>
    <row r="278" spans="1:4">
      <c r="A278" s="4" t="s">
        <v>574</v>
      </c>
      <c r="B278" s="4">
        <v>1</v>
      </c>
      <c r="C278" s="4" t="s">
        <v>575</v>
      </c>
      <c r="D278" s="4">
        <v>1</v>
      </c>
    </row>
    <row r="279" spans="1:4">
      <c r="A279" s="4" t="s">
        <v>576</v>
      </c>
      <c r="B279" s="4">
        <v>1</v>
      </c>
      <c r="C279" s="4" t="s">
        <v>577</v>
      </c>
      <c r="D279" s="4">
        <v>1</v>
      </c>
    </row>
    <row r="280" spans="1:4">
      <c r="A280" s="4" t="s">
        <v>578</v>
      </c>
      <c r="B280" s="4">
        <v>1</v>
      </c>
      <c r="C280" s="4" t="s">
        <v>579</v>
      </c>
      <c r="D280" s="4">
        <v>1</v>
      </c>
    </row>
    <row r="281" spans="1:4">
      <c r="A281" s="4" t="s">
        <v>580</v>
      </c>
      <c r="B281" s="4">
        <v>1</v>
      </c>
      <c r="C281" s="4" t="s">
        <v>581</v>
      </c>
      <c r="D281" s="4">
        <v>1</v>
      </c>
    </row>
    <row r="282" spans="1:4">
      <c r="A282" s="4" t="s">
        <v>582</v>
      </c>
      <c r="B282" s="4">
        <v>1</v>
      </c>
      <c r="C282" s="4" t="s">
        <v>583</v>
      </c>
      <c r="D282" s="4">
        <v>1</v>
      </c>
    </row>
    <row r="283" spans="1:4">
      <c r="A283" s="4" t="s">
        <v>584</v>
      </c>
      <c r="B283" s="4">
        <v>1</v>
      </c>
      <c r="C283" s="4" t="s">
        <v>585</v>
      </c>
      <c r="D283" s="4">
        <v>1</v>
      </c>
    </row>
    <row r="284" spans="1:4">
      <c r="A284" s="4" t="s">
        <v>586</v>
      </c>
      <c r="B284" s="4">
        <v>1</v>
      </c>
      <c r="C284" s="4" t="s">
        <v>587</v>
      </c>
      <c r="D284" s="4">
        <v>1</v>
      </c>
    </row>
    <row r="285" spans="1:4">
      <c r="A285" s="4" t="s">
        <v>450</v>
      </c>
      <c r="B285" s="4">
        <v>1</v>
      </c>
      <c r="C285" s="4" t="s">
        <v>226</v>
      </c>
      <c r="D285" s="4">
        <v>1</v>
      </c>
    </row>
    <row r="286" spans="1:4">
      <c r="A286" s="4" t="s">
        <v>588</v>
      </c>
      <c r="B286" s="4">
        <v>1</v>
      </c>
      <c r="C286" s="4" t="s">
        <v>589</v>
      </c>
      <c r="D286" s="4">
        <v>1</v>
      </c>
    </row>
    <row r="287" spans="1:4">
      <c r="A287" s="4" t="s">
        <v>590</v>
      </c>
      <c r="B287" s="4">
        <v>1</v>
      </c>
      <c r="C287" s="4" t="s">
        <v>591</v>
      </c>
      <c r="D287" s="4">
        <v>1</v>
      </c>
    </row>
    <row r="288" spans="1:4">
      <c r="A288" s="4" t="s">
        <v>592</v>
      </c>
      <c r="B288" s="4">
        <v>1</v>
      </c>
      <c r="C288" s="4" t="s">
        <v>593</v>
      </c>
      <c r="D288" s="4">
        <v>1</v>
      </c>
    </row>
    <row r="289" spans="1:4">
      <c r="A289" s="4" t="s">
        <v>594</v>
      </c>
      <c r="B289" s="4">
        <v>1</v>
      </c>
      <c r="C289" s="4" t="s">
        <v>558</v>
      </c>
      <c r="D289" s="4">
        <v>1</v>
      </c>
    </row>
    <row r="290" spans="1:4">
      <c r="A290" s="4" t="s">
        <v>595</v>
      </c>
      <c r="B290" s="4">
        <v>1</v>
      </c>
      <c r="C290" s="4" t="s">
        <v>596</v>
      </c>
      <c r="D290" s="4">
        <v>1</v>
      </c>
    </row>
    <row r="291" spans="1:4">
      <c r="A291" s="4" t="s">
        <v>597</v>
      </c>
      <c r="B291" s="4">
        <v>1</v>
      </c>
      <c r="C291" s="4" t="s">
        <v>374</v>
      </c>
      <c r="D291" s="4">
        <v>1</v>
      </c>
    </row>
    <row r="292" spans="1:4">
      <c r="A292" s="4" t="s">
        <v>598</v>
      </c>
      <c r="B292" s="4">
        <v>1</v>
      </c>
      <c r="C292" s="4" t="s">
        <v>599</v>
      </c>
      <c r="D292" s="4">
        <v>1</v>
      </c>
    </row>
    <row r="293" spans="1:4">
      <c r="A293" s="4" t="s">
        <v>446</v>
      </c>
      <c r="B293" s="4">
        <v>1</v>
      </c>
      <c r="C293" s="4" t="s">
        <v>600</v>
      </c>
      <c r="D293" s="4">
        <v>1</v>
      </c>
    </row>
    <row r="294" spans="1:4">
      <c r="A294" s="4" t="s">
        <v>571</v>
      </c>
      <c r="B294" s="4">
        <v>1</v>
      </c>
      <c r="C294" s="4" t="s">
        <v>601</v>
      </c>
      <c r="D294" s="4">
        <v>1</v>
      </c>
    </row>
    <row r="295" spans="1:4">
      <c r="A295" s="4" t="s">
        <v>602</v>
      </c>
      <c r="B295" s="4">
        <v>1</v>
      </c>
      <c r="C295" s="4" t="s">
        <v>603</v>
      </c>
      <c r="D295" s="4">
        <v>1</v>
      </c>
    </row>
    <row r="296" spans="1:4">
      <c r="A296" s="4" t="s">
        <v>604</v>
      </c>
      <c r="B296" s="4">
        <v>1</v>
      </c>
      <c r="C296" s="4" t="s">
        <v>605</v>
      </c>
      <c r="D296" s="4">
        <v>1</v>
      </c>
    </row>
    <row r="297" spans="1:4">
      <c r="A297" s="4" t="s">
        <v>606</v>
      </c>
      <c r="B297" s="4">
        <v>1</v>
      </c>
      <c r="C297" s="4" t="s">
        <v>607</v>
      </c>
      <c r="D297" s="4">
        <v>1</v>
      </c>
    </row>
    <row r="298" spans="1:4">
      <c r="A298" s="4" t="s">
        <v>608</v>
      </c>
      <c r="B298" s="4">
        <v>1</v>
      </c>
      <c r="C298" s="4" t="s">
        <v>609</v>
      </c>
      <c r="D298" s="4">
        <v>1</v>
      </c>
    </row>
    <row r="299" spans="1:4">
      <c r="A299" s="4" t="s">
        <v>610</v>
      </c>
      <c r="B299" s="4">
        <v>1</v>
      </c>
      <c r="C299" s="4" t="s">
        <v>611</v>
      </c>
      <c r="D299" s="4">
        <v>1</v>
      </c>
    </row>
    <row r="300" spans="1:4">
      <c r="A300" s="4" t="s">
        <v>612</v>
      </c>
      <c r="B300" s="4">
        <v>1</v>
      </c>
      <c r="C300" s="4" t="s">
        <v>613</v>
      </c>
      <c r="D300" s="4">
        <v>1</v>
      </c>
    </row>
    <row r="301" spans="1:4">
      <c r="A301" s="4" t="s">
        <v>614</v>
      </c>
      <c r="B301" s="4">
        <v>1</v>
      </c>
      <c r="C301" s="4" t="s">
        <v>615</v>
      </c>
      <c r="D301" s="4">
        <v>1</v>
      </c>
    </row>
    <row r="302" spans="1:4">
      <c r="A302" s="4" t="s">
        <v>616</v>
      </c>
      <c r="B302" s="4">
        <v>1</v>
      </c>
      <c r="C302" s="4" t="s">
        <v>617</v>
      </c>
      <c r="D302" s="4">
        <v>1</v>
      </c>
    </row>
    <row r="303" spans="1:4">
      <c r="A303" s="4" t="s">
        <v>618</v>
      </c>
      <c r="B303" s="4">
        <v>1</v>
      </c>
      <c r="C303" s="4" t="s">
        <v>619</v>
      </c>
      <c r="D303" s="4">
        <v>1</v>
      </c>
    </row>
    <row r="304" spans="1:4">
      <c r="A304" s="4" t="s">
        <v>620</v>
      </c>
      <c r="B304" s="4">
        <v>1</v>
      </c>
      <c r="C304" s="4" t="s">
        <v>621</v>
      </c>
      <c r="D304" s="4">
        <v>1</v>
      </c>
    </row>
    <row r="305" spans="1:4">
      <c r="A305" s="4" t="s">
        <v>622</v>
      </c>
      <c r="B305" s="4">
        <v>1</v>
      </c>
      <c r="C305" s="4" t="s">
        <v>623</v>
      </c>
      <c r="D305" s="4">
        <v>1</v>
      </c>
    </row>
    <row r="306" spans="1:4">
      <c r="A306" s="4" t="s">
        <v>624</v>
      </c>
      <c r="B306" s="4">
        <v>1</v>
      </c>
      <c r="C306" s="4" t="s">
        <v>625</v>
      </c>
      <c r="D306" s="4">
        <v>1</v>
      </c>
    </row>
    <row r="307" spans="1:4">
      <c r="A307" s="4" t="s">
        <v>626</v>
      </c>
      <c r="B307" s="4">
        <v>1</v>
      </c>
      <c r="C307" s="4" t="s">
        <v>627</v>
      </c>
      <c r="D307" s="4">
        <v>1</v>
      </c>
    </row>
    <row r="308" spans="1:4">
      <c r="A308" s="4" t="s">
        <v>628</v>
      </c>
      <c r="B308" s="4">
        <v>1</v>
      </c>
      <c r="C308" s="4" t="s">
        <v>629</v>
      </c>
      <c r="D308" s="4">
        <v>1</v>
      </c>
    </row>
    <row r="309" spans="1:4">
      <c r="A309" s="4" t="s">
        <v>630</v>
      </c>
      <c r="B309" s="4">
        <v>1</v>
      </c>
      <c r="C309" s="4" t="s">
        <v>524</v>
      </c>
      <c r="D309" s="4">
        <v>1</v>
      </c>
    </row>
    <row r="310" spans="1:4">
      <c r="A310" s="4" t="s">
        <v>631</v>
      </c>
      <c r="B310" s="4">
        <v>1</v>
      </c>
      <c r="C310" s="4" t="s">
        <v>632</v>
      </c>
      <c r="D310" s="4">
        <v>1</v>
      </c>
    </row>
    <row r="311" spans="1:4">
      <c r="A311" s="4" t="s">
        <v>219</v>
      </c>
      <c r="B311" s="4">
        <v>1</v>
      </c>
      <c r="C311" s="4" t="s">
        <v>633</v>
      </c>
      <c r="D311" s="4">
        <v>1</v>
      </c>
    </row>
    <row r="312" spans="1:4">
      <c r="A312" s="4" t="s">
        <v>634</v>
      </c>
      <c r="B312" s="4">
        <v>1</v>
      </c>
      <c r="C312" s="4" t="s">
        <v>635</v>
      </c>
      <c r="D312" s="4">
        <v>1</v>
      </c>
    </row>
    <row r="313" spans="1:4">
      <c r="A313" s="4" t="s">
        <v>636</v>
      </c>
      <c r="B313" s="4">
        <v>1</v>
      </c>
      <c r="C313" s="4" t="s">
        <v>637</v>
      </c>
      <c r="D313" s="4">
        <v>1</v>
      </c>
    </row>
    <row r="314" spans="1:4">
      <c r="A314" s="4" t="s">
        <v>638</v>
      </c>
      <c r="B314" s="4">
        <v>1</v>
      </c>
      <c r="C314" s="4" t="s">
        <v>639</v>
      </c>
      <c r="D314" s="4">
        <v>1</v>
      </c>
    </row>
    <row r="315" spans="1:4">
      <c r="A315" s="4" t="s">
        <v>640</v>
      </c>
      <c r="B315" s="4">
        <v>1</v>
      </c>
      <c r="C315" s="4" t="s">
        <v>641</v>
      </c>
      <c r="D315" s="4">
        <v>1</v>
      </c>
    </row>
    <row r="316" spans="1:4">
      <c r="A316" s="4" t="s">
        <v>642</v>
      </c>
      <c r="B316" s="4">
        <v>1</v>
      </c>
      <c r="C316" s="4" t="s">
        <v>643</v>
      </c>
      <c r="D316" s="4">
        <v>1</v>
      </c>
    </row>
    <row r="317" spans="1:4">
      <c r="A317" s="4" t="s">
        <v>644</v>
      </c>
      <c r="B317" s="4">
        <v>1</v>
      </c>
      <c r="C317" s="4" t="s">
        <v>645</v>
      </c>
      <c r="D317" s="4">
        <v>1</v>
      </c>
    </row>
    <row r="318" spans="1:4">
      <c r="A318" s="4" t="s">
        <v>185</v>
      </c>
      <c r="B318" s="4">
        <v>1</v>
      </c>
      <c r="C318" s="4" t="s">
        <v>646</v>
      </c>
      <c r="D318" s="4">
        <v>1</v>
      </c>
    </row>
    <row r="319" spans="1:4">
      <c r="A319" s="4" t="s">
        <v>647</v>
      </c>
      <c r="B319" s="4">
        <v>1</v>
      </c>
      <c r="C319" s="4" t="s">
        <v>648</v>
      </c>
      <c r="D319" s="4">
        <v>1</v>
      </c>
    </row>
    <row r="320" spans="1:4">
      <c r="A320" s="4" t="s">
        <v>304</v>
      </c>
      <c r="B320" s="4">
        <v>1</v>
      </c>
      <c r="C320" s="4" t="s">
        <v>649</v>
      </c>
      <c r="D320" s="4">
        <v>1</v>
      </c>
    </row>
    <row r="321" spans="1:4">
      <c r="A321" s="4" t="s">
        <v>650</v>
      </c>
      <c r="B321" s="4">
        <v>1</v>
      </c>
      <c r="C321" s="4" t="s">
        <v>651</v>
      </c>
      <c r="D321" s="4">
        <v>1</v>
      </c>
    </row>
    <row r="322" spans="1:4">
      <c r="A322" s="4" t="s">
        <v>652</v>
      </c>
      <c r="B322" s="4">
        <v>1</v>
      </c>
      <c r="C322" s="4" t="s">
        <v>653</v>
      </c>
      <c r="D322" s="4">
        <v>1</v>
      </c>
    </row>
    <row r="323" spans="1:4">
      <c r="A323" s="4" t="s">
        <v>654</v>
      </c>
      <c r="B323" s="4">
        <v>1</v>
      </c>
      <c r="C323" s="4" t="s">
        <v>655</v>
      </c>
      <c r="D323" s="4">
        <v>1</v>
      </c>
    </row>
    <row r="324" spans="1:4">
      <c r="A324" s="4" t="s">
        <v>656</v>
      </c>
      <c r="B324" s="4">
        <v>1</v>
      </c>
      <c r="C324" s="4" t="s">
        <v>657</v>
      </c>
      <c r="D324" s="4">
        <v>1</v>
      </c>
    </row>
    <row r="325" spans="1:4">
      <c r="A325" s="4" t="s">
        <v>658</v>
      </c>
      <c r="B325" s="4">
        <v>1</v>
      </c>
      <c r="C325" s="4" t="s">
        <v>659</v>
      </c>
      <c r="D325" s="4">
        <v>1</v>
      </c>
    </row>
    <row r="326" spans="1:4">
      <c r="A326" s="4" t="s">
        <v>660</v>
      </c>
      <c r="B326" s="4">
        <v>1</v>
      </c>
      <c r="C326" s="4" t="s">
        <v>661</v>
      </c>
      <c r="D326" s="4">
        <v>1</v>
      </c>
    </row>
    <row r="327" spans="1:4">
      <c r="A327" s="4" t="s">
        <v>662</v>
      </c>
      <c r="B327" s="4">
        <v>1</v>
      </c>
      <c r="C327" s="4" t="s">
        <v>663</v>
      </c>
      <c r="D327" s="4">
        <v>1</v>
      </c>
    </row>
    <row r="328" spans="1:4">
      <c r="A328" s="4" t="s">
        <v>664</v>
      </c>
      <c r="B328" s="4">
        <v>1</v>
      </c>
      <c r="C328" s="4" t="s">
        <v>665</v>
      </c>
      <c r="D328" s="4">
        <v>1</v>
      </c>
    </row>
    <row r="329" spans="1:4">
      <c r="A329" s="4" t="s">
        <v>501</v>
      </c>
      <c r="B329" s="4">
        <v>1</v>
      </c>
      <c r="C329" s="4" t="s">
        <v>666</v>
      </c>
      <c r="D329" s="4">
        <v>1</v>
      </c>
    </row>
    <row r="330" spans="1:4">
      <c r="A330" s="4" t="s">
        <v>667</v>
      </c>
      <c r="B330" s="4">
        <v>1</v>
      </c>
      <c r="C330" s="4" t="s">
        <v>668</v>
      </c>
      <c r="D330" s="4">
        <v>1</v>
      </c>
    </row>
    <row r="331" spans="1:4">
      <c r="A331" s="4" t="s">
        <v>669</v>
      </c>
      <c r="B331" s="4">
        <v>1</v>
      </c>
      <c r="C331" s="4" t="s">
        <v>318</v>
      </c>
      <c r="D331" s="4">
        <v>1</v>
      </c>
    </row>
    <row r="332" spans="1:4">
      <c r="A332" s="4" t="s">
        <v>670</v>
      </c>
      <c r="B332" s="4">
        <v>1</v>
      </c>
      <c r="C332" s="4" t="s">
        <v>671</v>
      </c>
      <c r="D332" s="4">
        <v>1</v>
      </c>
    </row>
    <row r="333" spans="1:4">
      <c r="A333" s="4" t="s">
        <v>672</v>
      </c>
      <c r="B333" s="4">
        <v>1</v>
      </c>
      <c r="C333" s="4" t="s">
        <v>673</v>
      </c>
      <c r="D333" s="4">
        <v>1</v>
      </c>
    </row>
    <row r="334" spans="1:4">
      <c r="A334" s="4" t="s">
        <v>674</v>
      </c>
      <c r="B334" s="4">
        <v>1</v>
      </c>
      <c r="C334" s="4" t="s">
        <v>675</v>
      </c>
      <c r="D334" s="4">
        <v>1</v>
      </c>
    </row>
    <row r="335" spans="1:4">
      <c r="A335" s="4" t="s">
        <v>676</v>
      </c>
      <c r="B335" s="4">
        <v>1</v>
      </c>
      <c r="C335" s="4" t="s">
        <v>677</v>
      </c>
      <c r="D335" s="4">
        <v>1</v>
      </c>
    </row>
    <row r="336" spans="1:4">
      <c r="A336" s="4" t="s">
        <v>678</v>
      </c>
      <c r="B336" s="4">
        <v>1</v>
      </c>
      <c r="C336" s="4" t="s">
        <v>679</v>
      </c>
      <c r="D336" s="4">
        <v>1</v>
      </c>
    </row>
    <row r="337" spans="1:4">
      <c r="A337" s="4" t="s">
        <v>680</v>
      </c>
      <c r="B337" s="4">
        <v>1</v>
      </c>
      <c r="C337" s="4" t="s">
        <v>681</v>
      </c>
      <c r="D337" s="4">
        <v>1</v>
      </c>
    </row>
    <row r="338" spans="1:4">
      <c r="A338" s="4" t="s">
        <v>183</v>
      </c>
      <c r="B338" s="4">
        <v>1</v>
      </c>
      <c r="C338" s="4" t="s">
        <v>682</v>
      </c>
      <c r="D338" s="4">
        <v>1</v>
      </c>
    </row>
    <row r="339" spans="1:4">
      <c r="A339" s="4" t="s">
        <v>683</v>
      </c>
      <c r="B339" s="4">
        <v>1</v>
      </c>
      <c r="C339" s="4" t="s">
        <v>684</v>
      </c>
      <c r="D339" s="4">
        <v>1</v>
      </c>
    </row>
    <row r="340" spans="1:4">
      <c r="A340" s="4" t="s">
        <v>685</v>
      </c>
      <c r="B340" s="4">
        <v>1</v>
      </c>
      <c r="C340" s="4" t="s">
        <v>346</v>
      </c>
      <c r="D340" s="4">
        <v>1</v>
      </c>
    </row>
    <row r="341" spans="1:4">
      <c r="A341" s="4" t="s">
        <v>686</v>
      </c>
      <c r="B341" s="4">
        <v>1</v>
      </c>
      <c r="C341" s="4" t="s">
        <v>687</v>
      </c>
      <c r="D341" s="4">
        <v>1</v>
      </c>
    </row>
    <row r="342" spans="1:4">
      <c r="A342" s="4" t="s">
        <v>688</v>
      </c>
      <c r="B342" s="4">
        <v>1</v>
      </c>
      <c r="C342" s="4" t="s">
        <v>689</v>
      </c>
      <c r="D342" s="4">
        <v>1</v>
      </c>
    </row>
    <row r="343" spans="1:4">
      <c r="A343" s="4" t="s">
        <v>690</v>
      </c>
      <c r="B343" s="4">
        <v>1</v>
      </c>
      <c r="C343" s="4" t="s">
        <v>691</v>
      </c>
      <c r="D343" s="4">
        <v>1</v>
      </c>
    </row>
    <row r="344" spans="1:4">
      <c r="A344" s="4" t="s">
        <v>692</v>
      </c>
      <c r="B344" s="4">
        <v>1</v>
      </c>
      <c r="C344" s="4" t="s">
        <v>693</v>
      </c>
      <c r="D344" s="4">
        <v>1</v>
      </c>
    </row>
    <row r="345" spans="1:4">
      <c r="A345" s="4" t="s">
        <v>694</v>
      </c>
      <c r="B345" s="4">
        <v>1</v>
      </c>
      <c r="C345" s="4" t="s">
        <v>213</v>
      </c>
      <c r="D345" s="4">
        <v>1</v>
      </c>
    </row>
    <row r="346" spans="1:4">
      <c r="A346" s="4" t="s">
        <v>695</v>
      </c>
      <c r="B346" s="4">
        <v>1</v>
      </c>
      <c r="C346" s="4" t="s">
        <v>696</v>
      </c>
      <c r="D346" s="4">
        <v>1</v>
      </c>
    </row>
    <row r="347" spans="1:4">
      <c r="A347" s="4" t="s">
        <v>697</v>
      </c>
      <c r="B347" s="4">
        <v>1</v>
      </c>
      <c r="C347" s="4" t="s">
        <v>698</v>
      </c>
      <c r="D347" s="4">
        <v>1</v>
      </c>
    </row>
    <row r="348" spans="1:4">
      <c r="A348" s="4" t="s">
        <v>699</v>
      </c>
      <c r="B348" s="4">
        <v>1</v>
      </c>
      <c r="C348" s="4" t="s">
        <v>700</v>
      </c>
      <c r="D348" s="4">
        <v>1</v>
      </c>
    </row>
    <row r="349" spans="1:4">
      <c r="A349" s="4" t="s">
        <v>701</v>
      </c>
      <c r="B349" s="4">
        <v>1</v>
      </c>
      <c r="C349" s="4" t="s">
        <v>421</v>
      </c>
      <c r="D349" s="4">
        <v>1</v>
      </c>
    </row>
    <row r="350" spans="1:4">
      <c r="A350" s="4" t="s">
        <v>702</v>
      </c>
      <c r="B350" s="4">
        <v>1</v>
      </c>
      <c r="C350" s="4" t="s">
        <v>703</v>
      </c>
      <c r="D350" s="4">
        <v>1</v>
      </c>
    </row>
    <row r="351" spans="1:4">
      <c r="A351" s="4" t="s">
        <v>704</v>
      </c>
      <c r="B351" s="4">
        <v>1</v>
      </c>
      <c r="C351" s="4" t="s">
        <v>705</v>
      </c>
      <c r="D351" s="4">
        <v>1</v>
      </c>
    </row>
    <row r="352" spans="1:4">
      <c r="A352" s="4" t="s">
        <v>706</v>
      </c>
      <c r="B352" s="4">
        <v>1</v>
      </c>
      <c r="C352" s="4" t="s">
        <v>707</v>
      </c>
      <c r="D352" s="4">
        <v>1</v>
      </c>
    </row>
    <row r="353" spans="1:4">
      <c r="A353" s="4" t="s">
        <v>708</v>
      </c>
      <c r="B353" s="4">
        <v>1</v>
      </c>
      <c r="C353" s="4" t="s">
        <v>709</v>
      </c>
      <c r="D353" s="4">
        <v>1</v>
      </c>
    </row>
    <row r="354" spans="1:4">
      <c r="A354" s="4" t="s">
        <v>710</v>
      </c>
      <c r="B354" s="4">
        <v>1</v>
      </c>
      <c r="C354" s="4" t="s">
        <v>711</v>
      </c>
      <c r="D354" s="4">
        <v>1</v>
      </c>
    </row>
    <row r="355" spans="1:4">
      <c r="A355" s="4" t="s">
        <v>712</v>
      </c>
      <c r="B355" s="4">
        <v>1</v>
      </c>
      <c r="C355" s="4" t="s">
        <v>713</v>
      </c>
      <c r="D355" s="4">
        <v>1</v>
      </c>
    </row>
    <row r="356" spans="1:4">
      <c r="A356" s="4" t="s">
        <v>714</v>
      </c>
      <c r="B356" s="4">
        <v>1</v>
      </c>
      <c r="C356" s="4" t="s">
        <v>715</v>
      </c>
      <c r="D356" s="4">
        <v>1</v>
      </c>
    </row>
    <row r="357" spans="1:4">
      <c r="A357" s="4" t="s">
        <v>716</v>
      </c>
      <c r="B357" s="4">
        <v>1</v>
      </c>
      <c r="C357" s="4" t="s">
        <v>717</v>
      </c>
      <c r="D357" s="4">
        <v>1</v>
      </c>
    </row>
    <row r="358" spans="1:4">
      <c r="A358" s="4" t="s">
        <v>718</v>
      </c>
      <c r="B358" s="4">
        <v>1</v>
      </c>
      <c r="C358" s="4" t="s">
        <v>719</v>
      </c>
      <c r="D358" s="4">
        <v>1</v>
      </c>
    </row>
    <row r="359" spans="1:4">
      <c r="A359" s="4" t="s">
        <v>720</v>
      </c>
      <c r="B359" s="4">
        <v>1</v>
      </c>
      <c r="C359" s="4" t="s">
        <v>660</v>
      </c>
      <c r="D359" s="4">
        <v>1</v>
      </c>
    </row>
    <row r="360" spans="1:4">
      <c r="A360" s="4" t="s">
        <v>721</v>
      </c>
      <c r="B360" s="4">
        <v>1</v>
      </c>
      <c r="C360" s="4" t="s">
        <v>722</v>
      </c>
      <c r="D360" s="4">
        <v>1</v>
      </c>
    </row>
    <row r="361" spans="1:4">
      <c r="A361" s="4" t="s">
        <v>723</v>
      </c>
      <c r="B361" s="4">
        <v>1</v>
      </c>
      <c r="C361" s="4" t="s">
        <v>724</v>
      </c>
      <c r="D361" s="4">
        <v>1</v>
      </c>
    </row>
    <row r="362" spans="1:4">
      <c r="A362" s="4" t="s">
        <v>251</v>
      </c>
      <c r="B362" s="4">
        <v>1</v>
      </c>
      <c r="C362" s="4" t="s">
        <v>725</v>
      </c>
      <c r="D362" s="4">
        <v>1</v>
      </c>
    </row>
    <row r="363" spans="1:4">
      <c r="A363" s="4" t="s">
        <v>726</v>
      </c>
      <c r="B363" s="4">
        <v>1</v>
      </c>
      <c r="C363" s="4" t="s">
        <v>727</v>
      </c>
      <c r="D363" s="4">
        <v>1</v>
      </c>
    </row>
    <row r="364" spans="1:4">
      <c r="A364" s="4" t="s">
        <v>728</v>
      </c>
      <c r="B364" s="4">
        <v>1</v>
      </c>
      <c r="C364" s="4" t="s">
        <v>729</v>
      </c>
      <c r="D364" s="4">
        <v>1</v>
      </c>
    </row>
    <row r="365" spans="1:4">
      <c r="A365" s="4" t="s">
        <v>730</v>
      </c>
      <c r="B365" s="4">
        <v>1</v>
      </c>
      <c r="C365" s="4" t="s">
        <v>731</v>
      </c>
      <c r="D365" s="4">
        <v>1</v>
      </c>
    </row>
    <row r="366" spans="1:4">
      <c r="A366" s="4" t="s">
        <v>732</v>
      </c>
      <c r="B366" s="4">
        <v>1</v>
      </c>
      <c r="C366" s="4" t="s">
        <v>733</v>
      </c>
      <c r="D366" s="4">
        <v>1</v>
      </c>
    </row>
    <row r="367" spans="1:4">
      <c r="A367" s="4" t="s">
        <v>734</v>
      </c>
      <c r="B367" s="4">
        <v>1</v>
      </c>
      <c r="C367" s="4" t="s">
        <v>735</v>
      </c>
      <c r="D367" s="4">
        <v>1</v>
      </c>
    </row>
    <row r="368" spans="1:4">
      <c r="A368" s="4" t="s">
        <v>736</v>
      </c>
      <c r="B368" s="4">
        <v>1</v>
      </c>
      <c r="C368" s="4" t="s">
        <v>737</v>
      </c>
      <c r="D368" s="4">
        <v>1</v>
      </c>
    </row>
    <row r="369" spans="1:4">
      <c r="A369" s="4" t="s">
        <v>738</v>
      </c>
      <c r="B369" s="4">
        <v>1</v>
      </c>
      <c r="C369" s="4" t="s">
        <v>739</v>
      </c>
      <c r="D369" s="4">
        <v>1</v>
      </c>
    </row>
    <row r="370" spans="1:4">
      <c r="A370" s="4" t="s">
        <v>740</v>
      </c>
      <c r="B370" s="4">
        <v>1</v>
      </c>
      <c r="C370" s="4" t="s">
        <v>741</v>
      </c>
      <c r="D370" s="4">
        <v>1</v>
      </c>
    </row>
    <row r="371" spans="1:4">
      <c r="A371" s="4" t="s">
        <v>742</v>
      </c>
      <c r="B371" s="4">
        <v>1</v>
      </c>
      <c r="C371" s="4" t="s">
        <v>743</v>
      </c>
      <c r="D371" s="4">
        <v>1</v>
      </c>
    </row>
    <row r="372" spans="1:4">
      <c r="A372" s="4" t="s">
        <v>744</v>
      </c>
      <c r="B372" s="4">
        <v>1</v>
      </c>
      <c r="C372" s="4" t="s">
        <v>745</v>
      </c>
      <c r="D372" s="4">
        <v>1</v>
      </c>
    </row>
    <row r="373" spans="1:4">
      <c r="A373" s="4" t="s">
        <v>746</v>
      </c>
      <c r="B373" s="4">
        <v>1</v>
      </c>
      <c r="C373" s="4" t="s">
        <v>747</v>
      </c>
      <c r="D373" s="4">
        <v>1</v>
      </c>
    </row>
    <row r="374" spans="1:4">
      <c r="A374" s="4" t="s">
        <v>657</v>
      </c>
      <c r="B374" s="4">
        <v>1</v>
      </c>
      <c r="C374" s="4" t="s">
        <v>748</v>
      </c>
      <c r="D374" s="4">
        <v>1</v>
      </c>
    </row>
    <row r="375" spans="1:4">
      <c r="A375" s="4" t="s">
        <v>749</v>
      </c>
      <c r="B375" s="4">
        <v>1</v>
      </c>
      <c r="C375" s="4" t="s">
        <v>750</v>
      </c>
      <c r="D375" s="4">
        <v>1</v>
      </c>
    </row>
    <row r="376" spans="1:4">
      <c r="A376" s="4" t="s">
        <v>751</v>
      </c>
      <c r="B376" s="4">
        <v>1</v>
      </c>
      <c r="C376" s="4" t="s">
        <v>752</v>
      </c>
      <c r="D376" s="4">
        <v>1</v>
      </c>
    </row>
    <row r="377" spans="1:4">
      <c r="A377" s="4" t="s">
        <v>577</v>
      </c>
      <c r="B377" s="4">
        <v>1</v>
      </c>
      <c r="C377" s="4" t="s">
        <v>753</v>
      </c>
      <c r="D377" s="4">
        <v>1</v>
      </c>
    </row>
    <row r="378" spans="1:4">
      <c r="A378" s="4" t="s">
        <v>754</v>
      </c>
      <c r="B378" s="4">
        <v>1</v>
      </c>
      <c r="C378" s="4" t="s">
        <v>755</v>
      </c>
      <c r="D378" s="4">
        <v>1</v>
      </c>
    </row>
    <row r="379" spans="1:4">
      <c r="A379" s="4" t="s">
        <v>756</v>
      </c>
      <c r="B379" s="4">
        <v>1</v>
      </c>
      <c r="C379" s="4" t="s">
        <v>245</v>
      </c>
      <c r="D379" s="4">
        <v>1</v>
      </c>
    </row>
    <row r="380" spans="1:4">
      <c r="A380" s="4" t="s">
        <v>757</v>
      </c>
      <c r="B380" s="4">
        <v>1</v>
      </c>
      <c r="C380" s="4" t="s">
        <v>758</v>
      </c>
      <c r="D380" s="4">
        <v>1</v>
      </c>
    </row>
    <row r="381" spans="1:4">
      <c r="A381" s="4" t="s">
        <v>759</v>
      </c>
      <c r="B381" s="4">
        <v>1</v>
      </c>
      <c r="C381" s="4" t="s">
        <v>760</v>
      </c>
      <c r="D381" s="4">
        <v>1</v>
      </c>
    </row>
    <row r="382" spans="1:4">
      <c r="A382" s="4" t="s">
        <v>761</v>
      </c>
      <c r="B382" s="4">
        <v>1</v>
      </c>
      <c r="C382" s="4" t="s">
        <v>762</v>
      </c>
      <c r="D382" s="4">
        <v>1</v>
      </c>
    </row>
    <row r="383" spans="1:4">
      <c r="A383" s="4" t="s">
        <v>763</v>
      </c>
      <c r="B383" s="4">
        <v>1</v>
      </c>
      <c r="C383" s="4" t="s">
        <v>764</v>
      </c>
      <c r="D383" s="4">
        <v>1</v>
      </c>
    </row>
    <row r="384" spans="1:4">
      <c r="A384" s="4" t="s">
        <v>461</v>
      </c>
      <c r="B384" s="4">
        <v>1</v>
      </c>
      <c r="C384" s="4" t="s">
        <v>765</v>
      </c>
      <c r="D384" s="4">
        <v>1</v>
      </c>
    </row>
    <row r="385" spans="1:4">
      <c r="A385" s="4" t="s">
        <v>766</v>
      </c>
      <c r="B385" s="4">
        <v>1</v>
      </c>
      <c r="C385" s="4" t="s">
        <v>767</v>
      </c>
      <c r="D385" s="4">
        <v>1</v>
      </c>
    </row>
    <row r="386" spans="1:4">
      <c r="A386" s="4" t="s">
        <v>768</v>
      </c>
      <c r="B386" s="4">
        <v>1</v>
      </c>
      <c r="C386" s="4" t="s">
        <v>769</v>
      </c>
      <c r="D386" s="4">
        <v>1</v>
      </c>
    </row>
    <row r="387" spans="1:4">
      <c r="A387" s="4" t="s">
        <v>155</v>
      </c>
      <c r="B387" s="4">
        <v>1</v>
      </c>
      <c r="C387" s="4" t="s">
        <v>770</v>
      </c>
      <c r="D387" s="4">
        <v>1</v>
      </c>
    </row>
    <row r="388" spans="1:4">
      <c r="A388" s="4" t="s">
        <v>771</v>
      </c>
      <c r="B388" s="4">
        <v>1</v>
      </c>
      <c r="C388" s="4" t="s">
        <v>772</v>
      </c>
      <c r="D388" s="4">
        <v>1</v>
      </c>
    </row>
    <row r="389" spans="1:4">
      <c r="A389" s="4" t="s">
        <v>231</v>
      </c>
      <c r="B389" s="4">
        <v>1</v>
      </c>
      <c r="C389" s="4" t="s">
        <v>773</v>
      </c>
      <c r="D389" s="4">
        <v>1</v>
      </c>
    </row>
    <row r="390" spans="1:4">
      <c r="A390" s="4" t="s">
        <v>774</v>
      </c>
      <c r="B390" s="4">
        <v>1</v>
      </c>
      <c r="C390" s="4" t="s">
        <v>775</v>
      </c>
      <c r="D390" s="4">
        <v>1</v>
      </c>
    </row>
    <row r="391" spans="1:4">
      <c r="A391" s="4" t="s">
        <v>776</v>
      </c>
      <c r="B391" s="4">
        <v>1</v>
      </c>
      <c r="C391" s="4" t="s">
        <v>777</v>
      </c>
      <c r="D391" s="4">
        <v>1</v>
      </c>
    </row>
    <row r="392" spans="1:4">
      <c r="A392" s="4" t="s">
        <v>778</v>
      </c>
      <c r="B392" s="4">
        <v>1</v>
      </c>
      <c r="C392" s="4" t="s">
        <v>779</v>
      </c>
      <c r="D392" s="4">
        <v>1</v>
      </c>
    </row>
    <row r="393" spans="1:4">
      <c r="A393" s="4" t="s">
        <v>780</v>
      </c>
      <c r="B393" s="4">
        <v>1</v>
      </c>
      <c r="C393" s="4" t="s">
        <v>662</v>
      </c>
      <c r="D393" s="4">
        <v>1</v>
      </c>
    </row>
    <row r="394" spans="1:4">
      <c r="A394" s="4" t="s">
        <v>781</v>
      </c>
      <c r="B394" s="4">
        <v>1</v>
      </c>
      <c r="C394" s="4" t="s">
        <v>757</v>
      </c>
      <c r="D394" s="4">
        <v>1</v>
      </c>
    </row>
    <row r="395" spans="1:4">
      <c r="A395" s="4" t="s">
        <v>782</v>
      </c>
      <c r="B395" s="4">
        <v>1</v>
      </c>
      <c r="C395" s="4" t="s">
        <v>783</v>
      </c>
      <c r="D395" s="4">
        <v>1</v>
      </c>
    </row>
    <row r="396" spans="1:4">
      <c r="A396" s="4" t="s">
        <v>784</v>
      </c>
      <c r="B396" s="4">
        <v>1</v>
      </c>
      <c r="C396" s="4" t="s">
        <v>785</v>
      </c>
      <c r="D396" s="4">
        <v>1</v>
      </c>
    </row>
    <row r="397" spans="1:4">
      <c r="A397" s="4" t="s">
        <v>786</v>
      </c>
      <c r="B397" s="4">
        <v>1</v>
      </c>
      <c r="C397" s="4" t="s">
        <v>787</v>
      </c>
      <c r="D397" s="4">
        <v>1</v>
      </c>
    </row>
    <row r="398" spans="1:4">
      <c r="A398" s="4" t="s">
        <v>788</v>
      </c>
      <c r="B398" s="4">
        <v>1</v>
      </c>
      <c r="C398" s="4" t="s">
        <v>789</v>
      </c>
      <c r="D398" s="4">
        <v>1</v>
      </c>
    </row>
    <row r="399" spans="1:4">
      <c r="A399" s="4" t="s">
        <v>790</v>
      </c>
      <c r="B399" s="4">
        <v>1</v>
      </c>
      <c r="C399" s="4" t="s">
        <v>791</v>
      </c>
      <c r="D399" s="4">
        <v>1</v>
      </c>
    </row>
    <row r="400" spans="1:4">
      <c r="A400" s="4" t="s">
        <v>792</v>
      </c>
      <c r="B400" s="4">
        <v>1</v>
      </c>
      <c r="C400" s="4" t="s">
        <v>793</v>
      </c>
      <c r="D400" s="4">
        <v>1</v>
      </c>
    </row>
    <row r="401" spans="1:4">
      <c r="A401" s="4" t="s">
        <v>794</v>
      </c>
      <c r="B401" s="4">
        <v>1</v>
      </c>
      <c r="C401" s="4" t="s">
        <v>795</v>
      </c>
      <c r="D401" s="4">
        <v>1</v>
      </c>
    </row>
    <row r="402" spans="1:4">
      <c r="A402" s="4" t="s">
        <v>796</v>
      </c>
      <c r="B402" s="4">
        <v>1</v>
      </c>
      <c r="C402" s="4" t="s">
        <v>797</v>
      </c>
      <c r="D402" s="4">
        <v>1</v>
      </c>
    </row>
    <row r="403" spans="1:4">
      <c r="A403" s="4" t="s">
        <v>798</v>
      </c>
      <c r="B403" s="4">
        <v>1</v>
      </c>
      <c r="C403" s="4" t="s">
        <v>782</v>
      </c>
      <c r="D403" s="4">
        <v>1</v>
      </c>
    </row>
    <row r="404" spans="1:4">
      <c r="A404" s="4" t="s">
        <v>799</v>
      </c>
      <c r="B404" s="4">
        <v>1</v>
      </c>
      <c r="C404" s="4" t="s">
        <v>800</v>
      </c>
      <c r="D404" s="4">
        <v>1</v>
      </c>
    </row>
    <row r="405" spans="1:4">
      <c r="A405" s="4" t="s">
        <v>801</v>
      </c>
      <c r="B405" s="4">
        <v>1</v>
      </c>
      <c r="C405" s="4" t="s">
        <v>802</v>
      </c>
      <c r="D405" s="4">
        <v>1</v>
      </c>
    </row>
    <row r="406" spans="1:4">
      <c r="A406" s="4" t="s">
        <v>803</v>
      </c>
      <c r="B406" s="4">
        <v>1</v>
      </c>
      <c r="C406" s="4" t="s">
        <v>804</v>
      </c>
      <c r="D406" s="4">
        <v>1</v>
      </c>
    </row>
    <row r="407" spans="1:4">
      <c r="A407" s="4" t="s">
        <v>506</v>
      </c>
      <c r="B407" s="4">
        <v>1</v>
      </c>
      <c r="C407" s="4" t="s">
        <v>805</v>
      </c>
      <c r="D407" s="4">
        <v>1</v>
      </c>
    </row>
    <row r="408" spans="1:4">
      <c r="A408" s="4" t="s">
        <v>806</v>
      </c>
      <c r="B408" s="4">
        <v>1</v>
      </c>
      <c r="C408" s="4" t="s">
        <v>807</v>
      </c>
      <c r="D408" s="4">
        <v>1</v>
      </c>
    </row>
    <row r="409" spans="1:4">
      <c r="A409" s="4" t="s">
        <v>808</v>
      </c>
      <c r="B409" s="4">
        <v>1</v>
      </c>
      <c r="C409" s="4" t="s">
        <v>809</v>
      </c>
      <c r="D409" s="4">
        <v>1</v>
      </c>
    </row>
    <row r="410" spans="1:4">
      <c r="A410" s="4" t="s">
        <v>810</v>
      </c>
      <c r="B410" s="4">
        <v>1</v>
      </c>
      <c r="C410" s="4" t="s">
        <v>490</v>
      </c>
      <c r="D410" s="4">
        <v>1</v>
      </c>
    </row>
    <row r="411" spans="1:4">
      <c r="A411" s="4" t="s">
        <v>811</v>
      </c>
      <c r="B411" s="4">
        <v>1</v>
      </c>
      <c r="C411" s="4" t="s">
        <v>812</v>
      </c>
      <c r="D411" s="4">
        <v>1</v>
      </c>
    </row>
    <row r="412" spans="1:4">
      <c r="A412" s="4" t="s">
        <v>813</v>
      </c>
      <c r="B412" s="4">
        <v>1</v>
      </c>
      <c r="C412" s="4" t="s">
        <v>814</v>
      </c>
      <c r="D412" s="4">
        <v>1</v>
      </c>
    </row>
    <row r="413" spans="1:4">
      <c r="A413" s="4" t="s">
        <v>815</v>
      </c>
      <c r="B413" s="4">
        <v>1</v>
      </c>
      <c r="C413" s="4" t="s">
        <v>816</v>
      </c>
      <c r="D413" s="4">
        <v>1</v>
      </c>
    </row>
    <row r="414" spans="1:4">
      <c r="A414" s="4" t="s">
        <v>817</v>
      </c>
      <c r="B414" s="4">
        <v>1</v>
      </c>
      <c r="C414" s="4" t="s">
        <v>818</v>
      </c>
      <c r="D414" s="4">
        <v>1</v>
      </c>
    </row>
    <row r="415" spans="1:4">
      <c r="A415" s="4" t="s">
        <v>819</v>
      </c>
      <c r="B415" s="4">
        <v>1</v>
      </c>
      <c r="C415" s="4" t="s">
        <v>820</v>
      </c>
      <c r="D415" s="4">
        <v>1</v>
      </c>
    </row>
    <row r="416" spans="1:4">
      <c r="A416" s="4" t="s">
        <v>821</v>
      </c>
      <c r="B416" s="4">
        <v>1</v>
      </c>
      <c r="C416" s="4" t="s">
        <v>822</v>
      </c>
      <c r="D416" s="4">
        <v>1</v>
      </c>
    </row>
    <row r="417" spans="1:4">
      <c r="A417" s="4" t="s">
        <v>823</v>
      </c>
      <c r="B417" s="4">
        <v>1</v>
      </c>
      <c r="C417" s="4" t="s">
        <v>824</v>
      </c>
      <c r="D417" s="4">
        <v>1</v>
      </c>
    </row>
    <row r="418" spans="1:4">
      <c r="A418" s="4" t="s">
        <v>825</v>
      </c>
      <c r="B418" s="4">
        <v>1</v>
      </c>
      <c r="C418" s="4" t="s">
        <v>826</v>
      </c>
      <c r="D418" s="4">
        <v>1</v>
      </c>
    </row>
    <row r="419" spans="1:4">
      <c r="A419" s="4" t="s">
        <v>827</v>
      </c>
      <c r="B419" s="4">
        <v>1</v>
      </c>
      <c r="C419" s="4" t="s">
        <v>828</v>
      </c>
      <c r="D419" s="4">
        <v>1</v>
      </c>
    </row>
    <row r="420" spans="1:4">
      <c r="A420" s="4" t="s">
        <v>255</v>
      </c>
      <c r="B420" s="4">
        <v>1</v>
      </c>
      <c r="C420" s="4" t="s">
        <v>829</v>
      </c>
      <c r="D420" s="4">
        <v>1</v>
      </c>
    </row>
    <row r="421" spans="1:4">
      <c r="A421" s="4" t="s">
        <v>830</v>
      </c>
      <c r="B421" s="4">
        <v>1</v>
      </c>
      <c r="C421" s="4" t="s">
        <v>831</v>
      </c>
      <c r="D421" s="4">
        <v>1</v>
      </c>
    </row>
    <row r="422" spans="1:4">
      <c r="A422" s="4" t="s">
        <v>832</v>
      </c>
      <c r="B422" s="4">
        <v>1</v>
      </c>
      <c r="C422" s="4" t="s">
        <v>833</v>
      </c>
      <c r="D422" s="4">
        <v>1</v>
      </c>
    </row>
    <row r="423" spans="1:4">
      <c r="A423" s="4" t="s">
        <v>834</v>
      </c>
      <c r="B423" s="4">
        <v>1</v>
      </c>
      <c r="C423" s="4" t="s">
        <v>835</v>
      </c>
      <c r="D423" s="4">
        <v>1</v>
      </c>
    </row>
    <row r="424" spans="1:4">
      <c r="A424" s="4" t="s">
        <v>836</v>
      </c>
      <c r="B424" s="4">
        <v>1</v>
      </c>
      <c r="C424" s="4" t="s">
        <v>837</v>
      </c>
      <c r="D424" s="4">
        <v>1</v>
      </c>
    </row>
    <row r="425" spans="1:4">
      <c r="A425" s="4" t="s">
        <v>499</v>
      </c>
      <c r="B425" s="4">
        <v>1</v>
      </c>
      <c r="C425" s="4" t="s">
        <v>838</v>
      </c>
      <c r="D425" s="4">
        <v>1</v>
      </c>
    </row>
    <row r="426" spans="1:4">
      <c r="A426" s="4" t="s">
        <v>839</v>
      </c>
      <c r="B426" s="4">
        <v>1</v>
      </c>
      <c r="C426" s="4" t="s">
        <v>259</v>
      </c>
      <c r="D426" s="4">
        <v>1</v>
      </c>
    </row>
    <row r="427" spans="1:4">
      <c r="A427" s="4" t="s">
        <v>840</v>
      </c>
      <c r="B427" s="4">
        <v>1</v>
      </c>
      <c r="C427" s="4" t="s">
        <v>841</v>
      </c>
      <c r="D427" s="4">
        <v>1</v>
      </c>
    </row>
    <row r="428" spans="1:4">
      <c r="A428" s="4" t="s">
        <v>842</v>
      </c>
      <c r="B428" s="4">
        <v>1</v>
      </c>
      <c r="C428" s="4" t="s">
        <v>843</v>
      </c>
      <c r="D428" s="4">
        <v>1</v>
      </c>
    </row>
    <row r="429" spans="1:4">
      <c r="A429" s="4" t="s">
        <v>297</v>
      </c>
      <c r="B429" s="4">
        <v>1</v>
      </c>
      <c r="C429" s="4" t="s">
        <v>844</v>
      </c>
      <c r="D429" s="4">
        <v>1</v>
      </c>
    </row>
    <row r="430" spans="1:4">
      <c r="A430" s="4" t="s">
        <v>263</v>
      </c>
      <c r="B430" s="4">
        <v>1</v>
      </c>
      <c r="C430" s="4" t="s">
        <v>845</v>
      </c>
      <c r="D430" s="4">
        <v>1</v>
      </c>
    </row>
    <row r="431" spans="1:4">
      <c r="A431" s="4" t="s">
        <v>846</v>
      </c>
      <c r="B431" s="4">
        <v>1</v>
      </c>
      <c r="C431" s="4" t="s">
        <v>712</v>
      </c>
      <c r="D431" s="4">
        <v>1</v>
      </c>
    </row>
    <row r="432" spans="1:4">
      <c r="A432" s="4" t="s">
        <v>847</v>
      </c>
      <c r="B432" s="4">
        <v>1</v>
      </c>
      <c r="C432" s="4" t="s">
        <v>848</v>
      </c>
      <c r="D432" s="4">
        <v>1</v>
      </c>
    </row>
    <row r="433" spans="1:4">
      <c r="A433" s="4" t="s">
        <v>849</v>
      </c>
      <c r="B433" s="4">
        <v>1</v>
      </c>
      <c r="C433" s="4" t="s">
        <v>850</v>
      </c>
      <c r="D433" s="4">
        <v>1</v>
      </c>
    </row>
    <row r="434" spans="1:4">
      <c r="A434" s="4" t="s">
        <v>851</v>
      </c>
      <c r="B434" s="4">
        <v>1</v>
      </c>
      <c r="C434" s="4" t="s">
        <v>852</v>
      </c>
      <c r="D434" s="4">
        <v>1</v>
      </c>
    </row>
    <row r="435" spans="1:4">
      <c r="A435" s="4" t="s">
        <v>853</v>
      </c>
      <c r="B435" s="4">
        <v>1</v>
      </c>
      <c r="C435" s="4" t="s">
        <v>854</v>
      </c>
      <c r="D435" s="4">
        <v>1</v>
      </c>
    </row>
    <row r="436" spans="1:4">
      <c r="A436" s="4" t="s">
        <v>855</v>
      </c>
      <c r="B436" s="4">
        <v>1</v>
      </c>
      <c r="C436" s="4" t="s">
        <v>856</v>
      </c>
      <c r="D436" s="4">
        <v>1</v>
      </c>
    </row>
    <row r="437" spans="1:4">
      <c r="A437" s="4" t="s">
        <v>196</v>
      </c>
      <c r="B437" s="4">
        <v>1</v>
      </c>
      <c r="C437" s="4" t="s">
        <v>857</v>
      </c>
      <c r="D437" s="4">
        <v>1</v>
      </c>
    </row>
    <row r="438" spans="1:4">
      <c r="A438" s="4" t="s">
        <v>858</v>
      </c>
      <c r="B438" s="4">
        <v>1</v>
      </c>
      <c r="C438" s="4" t="s">
        <v>859</v>
      </c>
      <c r="D438" s="4">
        <v>1</v>
      </c>
    </row>
    <row r="439" spans="1:4">
      <c r="A439" s="4" t="s">
        <v>860</v>
      </c>
      <c r="B439" s="4">
        <v>1</v>
      </c>
      <c r="C439" s="4" t="s">
        <v>861</v>
      </c>
      <c r="D439" s="4">
        <v>1</v>
      </c>
    </row>
    <row r="440" spans="1:4">
      <c r="A440" s="4" t="s">
        <v>862</v>
      </c>
      <c r="B440" s="4">
        <v>1</v>
      </c>
      <c r="C440" s="4" t="s">
        <v>863</v>
      </c>
      <c r="D440" s="4">
        <v>1</v>
      </c>
    </row>
    <row r="441" spans="1:4">
      <c r="A441" s="4" t="s">
        <v>198</v>
      </c>
      <c r="B441" s="4">
        <v>1</v>
      </c>
      <c r="C441" s="4" t="s">
        <v>864</v>
      </c>
      <c r="D441" s="4">
        <v>1</v>
      </c>
    </row>
    <row r="442" spans="1:4">
      <c r="A442" s="4" t="s">
        <v>865</v>
      </c>
      <c r="B442" s="4">
        <v>1</v>
      </c>
      <c r="C442" s="4" t="s">
        <v>866</v>
      </c>
      <c r="D442" s="4">
        <v>1</v>
      </c>
    </row>
    <row r="443" spans="1:4">
      <c r="A443" s="4" t="s">
        <v>189</v>
      </c>
      <c r="B443" s="4">
        <v>1</v>
      </c>
      <c r="C443" s="4" t="s">
        <v>867</v>
      </c>
      <c r="D443" s="4">
        <v>1</v>
      </c>
    </row>
    <row r="444" spans="1:4">
      <c r="A444" s="4" t="s">
        <v>868</v>
      </c>
      <c r="B444" s="4">
        <v>1</v>
      </c>
      <c r="C444" s="4" t="s">
        <v>869</v>
      </c>
      <c r="D444" s="4">
        <v>1</v>
      </c>
    </row>
    <row r="445" spans="1:4">
      <c r="A445" s="4" t="s">
        <v>870</v>
      </c>
      <c r="B445" s="4">
        <v>1</v>
      </c>
      <c r="C445" s="4" t="s">
        <v>871</v>
      </c>
      <c r="D445" s="4">
        <v>1</v>
      </c>
    </row>
    <row r="446" spans="1:4">
      <c r="A446" s="4" t="s">
        <v>872</v>
      </c>
      <c r="B446" s="4">
        <v>1</v>
      </c>
      <c r="C446" s="4" t="s">
        <v>873</v>
      </c>
      <c r="D446" s="4">
        <v>1</v>
      </c>
    </row>
    <row r="447" spans="1:4">
      <c r="A447" s="4" t="s">
        <v>874</v>
      </c>
      <c r="B447" s="4">
        <v>1</v>
      </c>
      <c r="C447" s="4" t="s">
        <v>875</v>
      </c>
      <c r="D447" s="4">
        <v>1</v>
      </c>
    </row>
    <row r="448" spans="1:4">
      <c r="A448" s="4" t="s">
        <v>876</v>
      </c>
      <c r="B448" s="4">
        <v>1</v>
      </c>
      <c r="C448" s="4" t="s">
        <v>877</v>
      </c>
      <c r="D448" s="4">
        <v>1</v>
      </c>
    </row>
    <row r="449" spans="1:4">
      <c r="A449" s="4" t="s">
        <v>878</v>
      </c>
      <c r="B449" s="4">
        <v>1</v>
      </c>
      <c r="C449" s="4" t="s">
        <v>879</v>
      </c>
      <c r="D449" s="4">
        <v>1</v>
      </c>
    </row>
    <row r="450" spans="1:4">
      <c r="A450" s="4" t="s">
        <v>880</v>
      </c>
      <c r="B450" s="4">
        <v>1</v>
      </c>
      <c r="C450" s="4" t="s">
        <v>881</v>
      </c>
      <c r="D450" s="4">
        <v>1</v>
      </c>
    </row>
    <row r="451" spans="1:4">
      <c r="A451" s="4" t="s">
        <v>739</v>
      </c>
      <c r="B451" s="4">
        <v>1</v>
      </c>
      <c r="C451" s="4" t="s">
        <v>882</v>
      </c>
      <c r="D451" s="4">
        <v>1</v>
      </c>
    </row>
    <row r="452" spans="1:4">
      <c r="A452" s="4" t="s">
        <v>883</v>
      </c>
      <c r="B452" s="4">
        <v>1</v>
      </c>
      <c r="C452" s="4" t="s">
        <v>884</v>
      </c>
      <c r="D452" s="4">
        <v>1</v>
      </c>
    </row>
    <row r="453" spans="1:4">
      <c r="A453" s="4" t="s">
        <v>885</v>
      </c>
      <c r="B453" s="4">
        <v>1</v>
      </c>
      <c r="C453" s="4" t="s">
        <v>886</v>
      </c>
      <c r="D453" s="4">
        <v>1</v>
      </c>
    </row>
    <row r="454" spans="1:4">
      <c r="A454" s="4" t="s">
        <v>887</v>
      </c>
      <c r="B454" s="4">
        <v>1</v>
      </c>
      <c r="C454" s="4" t="s">
        <v>888</v>
      </c>
      <c r="D454" s="4">
        <v>1</v>
      </c>
    </row>
    <row r="455" spans="1:4">
      <c r="A455" s="4" t="s">
        <v>889</v>
      </c>
      <c r="B455" s="4">
        <v>1</v>
      </c>
      <c r="C455" s="4" t="s">
        <v>350</v>
      </c>
      <c r="D455" s="4">
        <v>1</v>
      </c>
    </row>
    <row r="456" spans="1:4">
      <c r="A456" s="4" t="s">
        <v>890</v>
      </c>
      <c r="B456" s="4">
        <v>1</v>
      </c>
      <c r="C456" s="4" t="s">
        <v>891</v>
      </c>
      <c r="D456" s="4">
        <v>1</v>
      </c>
    </row>
    <row r="457" spans="1:4">
      <c r="A457" s="4" t="s">
        <v>892</v>
      </c>
      <c r="B457" s="4">
        <v>1</v>
      </c>
      <c r="C457" s="4" t="s">
        <v>389</v>
      </c>
      <c r="D457" s="4">
        <v>1</v>
      </c>
    </row>
    <row r="458" spans="1:4">
      <c r="A458" s="4" t="s">
        <v>893</v>
      </c>
      <c r="B458" s="4">
        <v>1</v>
      </c>
      <c r="C458" s="4" t="s">
        <v>894</v>
      </c>
      <c r="D458" s="4">
        <v>1</v>
      </c>
    </row>
    <row r="459" spans="1:4">
      <c r="A459" s="4" t="s">
        <v>895</v>
      </c>
      <c r="B459" s="4">
        <v>1</v>
      </c>
      <c r="C459" s="4" t="s">
        <v>364</v>
      </c>
      <c r="D459" s="4">
        <v>1</v>
      </c>
    </row>
    <row r="460" spans="1:4">
      <c r="A460" s="4" t="s">
        <v>896</v>
      </c>
      <c r="B460" s="4">
        <v>1</v>
      </c>
      <c r="C460" s="4" t="s">
        <v>897</v>
      </c>
      <c r="D460" s="4">
        <v>1</v>
      </c>
    </row>
    <row r="461" spans="1:4">
      <c r="C461" s="4" t="s">
        <v>898</v>
      </c>
      <c r="D461" s="4">
        <v>1</v>
      </c>
    </row>
    <row r="462" spans="1:4">
      <c r="A462" s="69"/>
      <c r="C462" s="4" t="s">
        <v>899</v>
      </c>
      <c r="D462" s="4">
        <v>1</v>
      </c>
    </row>
    <row r="463" spans="1:4">
      <c r="A463" s="69"/>
      <c r="C463" s="4" t="s">
        <v>900</v>
      </c>
      <c r="D463" s="4">
        <v>1</v>
      </c>
    </row>
    <row r="464" spans="1:4">
      <c r="A464" s="69"/>
      <c r="C464" s="4" t="s">
        <v>901</v>
      </c>
      <c r="D464" s="4">
        <v>1</v>
      </c>
    </row>
    <row r="465" spans="1:4">
      <c r="A465" s="69"/>
      <c r="C465" s="4" t="s">
        <v>902</v>
      </c>
      <c r="D465" s="4">
        <v>1</v>
      </c>
    </row>
    <row r="466" spans="1:4">
      <c r="A466" s="69"/>
      <c r="C466" s="4" t="s">
        <v>903</v>
      </c>
      <c r="D466" s="4">
        <v>1</v>
      </c>
    </row>
    <row r="467" spans="1:4">
      <c r="A467" s="69"/>
      <c r="C467" s="4" t="s">
        <v>904</v>
      </c>
      <c r="D467" s="4">
        <v>1</v>
      </c>
    </row>
    <row r="468" spans="1:4">
      <c r="A468" s="69"/>
      <c r="C468" s="4" t="s">
        <v>905</v>
      </c>
      <c r="D468" s="4">
        <v>1</v>
      </c>
    </row>
    <row r="469" spans="1:4">
      <c r="A469" s="69"/>
      <c r="C469" s="4" t="s">
        <v>906</v>
      </c>
      <c r="D469" s="4">
        <v>1</v>
      </c>
    </row>
    <row r="470" spans="1:4">
      <c r="A470" s="69"/>
      <c r="C470" s="4" t="s">
        <v>907</v>
      </c>
      <c r="D470" s="4">
        <v>1</v>
      </c>
    </row>
    <row r="471" spans="1:4">
      <c r="A471" s="69"/>
      <c r="C471" s="4" t="s">
        <v>908</v>
      </c>
      <c r="D471" s="4">
        <v>1</v>
      </c>
    </row>
    <row r="472" spans="1:4">
      <c r="A472" s="69"/>
      <c r="C472" s="4" t="s">
        <v>909</v>
      </c>
      <c r="D472" s="4">
        <v>1</v>
      </c>
    </row>
    <row r="473" spans="1:4">
      <c r="A473" s="69"/>
      <c r="C473" s="4" t="s">
        <v>910</v>
      </c>
      <c r="D473" s="4">
        <v>1</v>
      </c>
    </row>
    <row r="474" spans="1:4">
      <c r="A474" s="69"/>
      <c r="C474" s="4" t="s">
        <v>911</v>
      </c>
      <c r="D474" s="4">
        <v>1</v>
      </c>
    </row>
    <row r="475" spans="1:4">
      <c r="A475" s="69"/>
      <c r="C475" s="4" t="s">
        <v>912</v>
      </c>
      <c r="D475" s="4">
        <v>1</v>
      </c>
    </row>
    <row r="476" spans="1:4">
      <c r="A476" s="69"/>
      <c r="C476" s="4" t="s">
        <v>913</v>
      </c>
      <c r="D476" s="4">
        <v>1</v>
      </c>
    </row>
    <row r="477" spans="1:4">
      <c r="A477" s="69"/>
      <c r="C477" s="4" t="s">
        <v>914</v>
      </c>
      <c r="D477" s="4">
        <v>1</v>
      </c>
    </row>
    <row r="478" spans="1:4">
      <c r="A478" s="69"/>
      <c r="C478" s="4" t="s">
        <v>915</v>
      </c>
      <c r="D478" s="4">
        <v>1</v>
      </c>
    </row>
    <row r="479" spans="1:4">
      <c r="C479" s="4" t="s">
        <v>916</v>
      </c>
      <c r="D479" s="4">
        <v>1</v>
      </c>
    </row>
    <row r="480" spans="1:4">
      <c r="C480" s="4" t="s">
        <v>917</v>
      </c>
      <c r="D480" s="4">
        <v>1</v>
      </c>
    </row>
    <row r="481" spans="3:4">
      <c r="C481" s="4" t="s">
        <v>918</v>
      </c>
      <c r="D481" s="4">
        <v>1</v>
      </c>
    </row>
    <row r="482" spans="3:4">
      <c r="C482" s="4" t="s">
        <v>919</v>
      </c>
      <c r="D482" s="4">
        <v>1</v>
      </c>
    </row>
    <row r="483" spans="3:4">
      <c r="C483" s="4" t="s">
        <v>920</v>
      </c>
      <c r="D483" s="4">
        <v>1</v>
      </c>
    </row>
    <row r="484" spans="3:4">
      <c r="C484" s="4" t="s">
        <v>921</v>
      </c>
      <c r="D484" s="4">
        <v>1</v>
      </c>
    </row>
    <row r="485" spans="3:4">
      <c r="C485" s="4" t="s">
        <v>922</v>
      </c>
      <c r="D485" s="4">
        <v>1</v>
      </c>
    </row>
    <row r="486" spans="3:4">
      <c r="C486" s="4" t="s">
        <v>923</v>
      </c>
      <c r="D486" s="4">
        <v>1</v>
      </c>
    </row>
    <row r="487" spans="3:4">
      <c r="C487" s="4" t="s">
        <v>924</v>
      </c>
      <c r="D487" s="4">
        <v>1</v>
      </c>
    </row>
    <row r="488" spans="3:4">
      <c r="C488" s="4" t="s">
        <v>925</v>
      </c>
      <c r="D488" s="4">
        <v>1</v>
      </c>
    </row>
    <row r="489" spans="3:4">
      <c r="C489" s="4" t="s">
        <v>926</v>
      </c>
      <c r="D489" s="4">
        <v>1</v>
      </c>
    </row>
    <row r="490" spans="3:4">
      <c r="C490" s="4" t="s">
        <v>927</v>
      </c>
      <c r="D490" s="4">
        <v>1</v>
      </c>
    </row>
    <row r="491" spans="3:4">
      <c r="C491" s="4" t="s">
        <v>928</v>
      </c>
      <c r="D491" s="4">
        <v>1</v>
      </c>
    </row>
    <row r="492" spans="3:4">
      <c r="C492" s="4" t="s">
        <v>929</v>
      </c>
      <c r="D492" s="4">
        <v>1</v>
      </c>
    </row>
    <row r="493" spans="3:4">
      <c r="C493" s="4" t="s">
        <v>930</v>
      </c>
      <c r="D493" s="4">
        <v>1</v>
      </c>
    </row>
    <row r="494" spans="3:4">
      <c r="C494" s="4" t="s">
        <v>931</v>
      </c>
      <c r="D494" s="4">
        <v>1</v>
      </c>
    </row>
    <row r="495" spans="3:4">
      <c r="C495" s="4" t="s">
        <v>427</v>
      </c>
      <c r="D495" s="4">
        <v>1</v>
      </c>
    </row>
    <row r="496" spans="3:4">
      <c r="C496" s="4" t="s">
        <v>932</v>
      </c>
      <c r="D496" s="4">
        <v>1</v>
      </c>
    </row>
    <row r="497" spans="3:4">
      <c r="C497" s="4" t="s">
        <v>933</v>
      </c>
      <c r="D497" s="4">
        <v>1</v>
      </c>
    </row>
    <row r="498" spans="3:4">
      <c r="C498" s="4" t="s">
        <v>934</v>
      </c>
      <c r="D498" s="4">
        <v>1</v>
      </c>
    </row>
    <row r="499" spans="3:4">
      <c r="C499" s="4" t="s">
        <v>935</v>
      </c>
      <c r="D499" s="4">
        <v>1</v>
      </c>
    </row>
    <row r="500" spans="3:4">
      <c r="C500" s="4" t="s">
        <v>936</v>
      </c>
      <c r="D500" s="4">
        <v>1</v>
      </c>
    </row>
    <row r="501" spans="3:4">
      <c r="C501" s="4" t="s">
        <v>937</v>
      </c>
      <c r="D501" s="4">
        <v>1</v>
      </c>
    </row>
    <row r="502" spans="3:4">
      <c r="C502" s="4" t="s">
        <v>938</v>
      </c>
      <c r="D502" s="4">
        <v>1</v>
      </c>
    </row>
    <row r="503" spans="3:4">
      <c r="C503" s="4" t="s">
        <v>939</v>
      </c>
      <c r="D503" s="4">
        <v>1</v>
      </c>
    </row>
    <row r="504" spans="3:4">
      <c r="C504" s="4" t="s">
        <v>940</v>
      </c>
      <c r="D504" s="4">
        <v>1</v>
      </c>
    </row>
    <row r="505" spans="3:4">
      <c r="C505" s="4" t="s">
        <v>686</v>
      </c>
      <c r="D505" s="4">
        <v>1</v>
      </c>
    </row>
    <row r="506" spans="3:4">
      <c r="C506" s="4" t="s">
        <v>941</v>
      </c>
      <c r="D506" s="4">
        <v>1</v>
      </c>
    </row>
    <row r="507" spans="3:4">
      <c r="C507" s="4" t="s">
        <v>942</v>
      </c>
      <c r="D507" s="4">
        <v>1</v>
      </c>
    </row>
    <row r="508" spans="3:4">
      <c r="C508" s="4" t="s">
        <v>943</v>
      </c>
      <c r="D508" s="4">
        <v>1</v>
      </c>
    </row>
    <row r="509" spans="3:4">
      <c r="C509" s="4" t="s">
        <v>944</v>
      </c>
      <c r="D509" s="4">
        <v>1</v>
      </c>
    </row>
    <row r="510" spans="3:4">
      <c r="C510" s="4" t="s">
        <v>945</v>
      </c>
      <c r="D510" s="4">
        <v>1</v>
      </c>
    </row>
    <row r="511" spans="3:4">
      <c r="C511" s="4" t="s">
        <v>946</v>
      </c>
      <c r="D511" s="4">
        <v>1</v>
      </c>
    </row>
    <row r="512" spans="3:4">
      <c r="C512" s="4" t="s">
        <v>947</v>
      </c>
      <c r="D512" s="4">
        <v>1</v>
      </c>
    </row>
    <row r="513" spans="3:4">
      <c r="C513" s="4" t="s">
        <v>948</v>
      </c>
      <c r="D513" s="4">
        <v>1</v>
      </c>
    </row>
    <row r="514" spans="3:4">
      <c r="C514" s="4" t="s">
        <v>949</v>
      </c>
      <c r="D514" s="4">
        <v>1</v>
      </c>
    </row>
    <row r="515" spans="3:4">
      <c r="C515" s="4" t="s">
        <v>950</v>
      </c>
      <c r="D515" s="4">
        <v>1</v>
      </c>
    </row>
    <row r="516" spans="3:4">
      <c r="C516" s="4" t="s">
        <v>951</v>
      </c>
      <c r="D516" s="4">
        <v>1</v>
      </c>
    </row>
    <row r="517" spans="3:4">
      <c r="C517" s="4" t="s">
        <v>952</v>
      </c>
      <c r="D517" s="4">
        <v>1</v>
      </c>
    </row>
    <row r="518" spans="3:4">
      <c r="C518" s="4" t="s">
        <v>953</v>
      </c>
      <c r="D518" s="4">
        <v>1</v>
      </c>
    </row>
    <row r="519" spans="3:4">
      <c r="C519" s="4" t="s">
        <v>954</v>
      </c>
      <c r="D519" s="4">
        <v>1</v>
      </c>
    </row>
    <row r="520" spans="3:4">
      <c r="C520" s="4" t="s">
        <v>955</v>
      </c>
      <c r="D520" s="4">
        <v>1</v>
      </c>
    </row>
    <row r="521" spans="3:4">
      <c r="C521" s="4" t="s">
        <v>956</v>
      </c>
      <c r="D521" s="4">
        <v>1</v>
      </c>
    </row>
    <row r="522" spans="3:4">
      <c r="C522" s="4" t="s">
        <v>957</v>
      </c>
      <c r="D522" s="4">
        <v>1</v>
      </c>
    </row>
    <row r="523" spans="3:4">
      <c r="C523" s="4" t="s">
        <v>958</v>
      </c>
      <c r="D523" s="4">
        <v>1</v>
      </c>
    </row>
    <row r="524" spans="3:4">
      <c r="C524" s="4" t="s">
        <v>959</v>
      </c>
      <c r="D524" s="4">
        <v>1</v>
      </c>
    </row>
    <row r="525" spans="3:4">
      <c r="C525" s="4" t="s">
        <v>960</v>
      </c>
      <c r="D525" s="4">
        <v>1</v>
      </c>
    </row>
    <row r="526" spans="3:4">
      <c r="C526" s="4" t="s">
        <v>961</v>
      </c>
      <c r="D526" s="4">
        <v>1</v>
      </c>
    </row>
    <row r="527" spans="3:4">
      <c r="C527" s="4" t="s">
        <v>962</v>
      </c>
      <c r="D527" s="4">
        <v>1</v>
      </c>
    </row>
    <row r="528" spans="3:4">
      <c r="C528" s="4" t="s">
        <v>963</v>
      </c>
      <c r="D528" s="4">
        <v>1</v>
      </c>
    </row>
    <row r="529" spans="3:4">
      <c r="C529" s="4" t="s">
        <v>964</v>
      </c>
      <c r="D529" s="4">
        <v>1</v>
      </c>
    </row>
    <row r="530" spans="3:4">
      <c r="C530" s="4" t="s">
        <v>965</v>
      </c>
      <c r="D530" s="4">
        <v>1</v>
      </c>
    </row>
    <row r="531" spans="3:4">
      <c r="C531" s="4" t="s">
        <v>966</v>
      </c>
      <c r="D531" s="4">
        <v>1</v>
      </c>
    </row>
    <row r="532" spans="3:4">
      <c r="C532" s="4" t="s">
        <v>349</v>
      </c>
      <c r="D532" s="4">
        <v>1</v>
      </c>
    </row>
    <row r="533" spans="3:4">
      <c r="C533" s="4" t="s">
        <v>967</v>
      </c>
      <c r="D533" s="4">
        <v>1</v>
      </c>
    </row>
    <row r="534" spans="3:4">
      <c r="C534" s="4" t="s">
        <v>968</v>
      </c>
      <c r="D534" s="4">
        <v>1</v>
      </c>
    </row>
    <row r="535" spans="3:4">
      <c r="C535" s="4" t="s">
        <v>969</v>
      </c>
      <c r="D535" s="4">
        <v>1</v>
      </c>
    </row>
    <row r="536" spans="3:4">
      <c r="C536" s="4" t="s">
        <v>970</v>
      </c>
      <c r="D536" s="4">
        <v>1</v>
      </c>
    </row>
    <row r="537" spans="3:4">
      <c r="C537" s="4" t="s">
        <v>971</v>
      </c>
      <c r="D537" s="4">
        <v>1</v>
      </c>
    </row>
    <row r="538" spans="3:4">
      <c r="C538" s="4" t="s">
        <v>771</v>
      </c>
      <c r="D538" s="4">
        <v>1</v>
      </c>
    </row>
    <row r="539" spans="3:4">
      <c r="C539" s="4" t="s">
        <v>972</v>
      </c>
      <c r="D539" s="4">
        <v>1</v>
      </c>
    </row>
    <row r="540" spans="3:4">
      <c r="C540" s="4" t="s">
        <v>973</v>
      </c>
      <c r="D540" s="4">
        <v>1</v>
      </c>
    </row>
    <row r="541" spans="3:4">
      <c r="C541" s="4" t="s">
        <v>974</v>
      </c>
      <c r="D541" s="4">
        <v>1</v>
      </c>
    </row>
    <row r="542" spans="3:4">
      <c r="C542" s="4" t="s">
        <v>975</v>
      </c>
      <c r="D542" s="4">
        <v>1</v>
      </c>
    </row>
    <row r="543" spans="3:4">
      <c r="C543" s="4" t="s">
        <v>976</v>
      </c>
      <c r="D543" s="4">
        <v>1</v>
      </c>
    </row>
    <row r="544" spans="3:4">
      <c r="C544" s="4" t="s">
        <v>977</v>
      </c>
      <c r="D544" s="4">
        <v>1</v>
      </c>
    </row>
    <row r="545" spans="3:4">
      <c r="C545" s="4" t="s">
        <v>978</v>
      </c>
      <c r="D545" s="4">
        <v>1</v>
      </c>
    </row>
    <row r="546" spans="3:4">
      <c r="C546" s="4" t="s">
        <v>979</v>
      </c>
      <c r="D546" s="4">
        <v>1</v>
      </c>
    </row>
    <row r="547" spans="3:4">
      <c r="C547" s="4" t="s">
        <v>980</v>
      </c>
      <c r="D547" s="4">
        <v>1</v>
      </c>
    </row>
    <row r="548" spans="3:4">
      <c r="C548" s="4" t="s">
        <v>981</v>
      </c>
      <c r="D548" s="4">
        <v>1</v>
      </c>
    </row>
    <row r="549" spans="3:4">
      <c r="C549" s="4" t="s">
        <v>982</v>
      </c>
      <c r="D549" s="4">
        <v>1</v>
      </c>
    </row>
    <row r="550" spans="3:4">
      <c r="C550" s="4" t="s">
        <v>983</v>
      </c>
      <c r="D550" s="4">
        <v>1</v>
      </c>
    </row>
    <row r="551" spans="3:4">
      <c r="C551" s="4" t="s">
        <v>984</v>
      </c>
      <c r="D551" s="4">
        <v>1</v>
      </c>
    </row>
    <row r="552" spans="3:4">
      <c r="C552" s="4" t="s">
        <v>237</v>
      </c>
      <c r="D552" s="4">
        <v>1</v>
      </c>
    </row>
    <row r="553" spans="3:4">
      <c r="C553" s="4" t="s">
        <v>985</v>
      </c>
      <c r="D553" s="4">
        <v>1</v>
      </c>
    </row>
    <row r="554" spans="3:4">
      <c r="C554" s="4" t="s">
        <v>986</v>
      </c>
      <c r="D554" s="4">
        <v>1</v>
      </c>
    </row>
    <row r="555" spans="3:4">
      <c r="C555" s="4" t="s">
        <v>987</v>
      </c>
      <c r="D555" s="4">
        <v>1</v>
      </c>
    </row>
    <row r="556" spans="3:4">
      <c r="C556" s="4" t="s">
        <v>988</v>
      </c>
      <c r="D556" s="4">
        <v>1</v>
      </c>
    </row>
    <row r="557" spans="3:4">
      <c r="C557" s="4" t="s">
        <v>989</v>
      </c>
      <c r="D557" s="4">
        <v>1</v>
      </c>
    </row>
    <row r="558" spans="3:4">
      <c r="C558" s="4" t="s">
        <v>990</v>
      </c>
      <c r="D558" s="4">
        <v>1</v>
      </c>
    </row>
    <row r="559" spans="3:4">
      <c r="C559" s="4" t="s">
        <v>991</v>
      </c>
      <c r="D559" s="4">
        <v>1</v>
      </c>
    </row>
    <row r="560" spans="3:4">
      <c r="C560" s="4" t="s">
        <v>992</v>
      </c>
      <c r="D560" s="4">
        <v>1</v>
      </c>
    </row>
    <row r="561" spans="3:4">
      <c r="C561" s="4" t="s">
        <v>993</v>
      </c>
      <c r="D561" s="4">
        <v>1</v>
      </c>
    </row>
    <row r="562" spans="3:4">
      <c r="C562" s="4" t="s">
        <v>234</v>
      </c>
      <c r="D562" s="4">
        <v>1</v>
      </c>
    </row>
    <row r="563" spans="3:4">
      <c r="C563" s="4" t="s">
        <v>994</v>
      </c>
      <c r="D563" s="4">
        <v>1</v>
      </c>
    </row>
    <row r="564" spans="3:4">
      <c r="C564" s="4" t="s">
        <v>995</v>
      </c>
      <c r="D564" s="4">
        <v>1</v>
      </c>
    </row>
    <row r="565" spans="3:4">
      <c r="C565" s="4" t="s">
        <v>357</v>
      </c>
      <c r="D565" s="4">
        <v>1</v>
      </c>
    </row>
    <row r="566" spans="3:4">
      <c r="C566" s="4" t="s">
        <v>823</v>
      </c>
      <c r="D566" s="4">
        <v>1</v>
      </c>
    </row>
    <row r="567" spans="3:4">
      <c r="C567" s="4" t="s">
        <v>996</v>
      </c>
      <c r="D567" s="4">
        <v>1</v>
      </c>
    </row>
    <row r="568" spans="3:4">
      <c r="C568" s="4" t="s">
        <v>997</v>
      </c>
      <c r="D568" s="4">
        <v>1</v>
      </c>
    </row>
    <row r="569" spans="3:4">
      <c r="C569" s="4" t="s">
        <v>998</v>
      </c>
      <c r="D569" s="4">
        <v>1</v>
      </c>
    </row>
    <row r="570" spans="3:4">
      <c r="C570" s="4" t="s">
        <v>999</v>
      </c>
      <c r="D570" s="4">
        <v>1</v>
      </c>
    </row>
    <row r="571" spans="3:4">
      <c r="C571" s="4" t="s">
        <v>1000</v>
      </c>
      <c r="D571" s="4">
        <v>1</v>
      </c>
    </row>
    <row r="572" spans="3:4">
      <c r="C572" s="4" t="s">
        <v>1001</v>
      </c>
      <c r="D572" s="4">
        <v>1</v>
      </c>
    </row>
    <row r="573" spans="3:4">
      <c r="C573" s="4" t="s">
        <v>1002</v>
      </c>
      <c r="D573" s="4">
        <v>1</v>
      </c>
    </row>
    <row r="574" spans="3:4">
      <c r="C574" s="4" t="s">
        <v>1003</v>
      </c>
      <c r="D574" s="4">
        <v>1</v>
      </c>
    </row>
    <row r="575" spans="3:4">
      <c r="C575" s="4" t="s">
        <v>1004</v>
      </c>
      <c r="D575" s="4">
        <v>1</v>
      </c>
    </row>
    <row r="576" spans="3:4">
      <c r="C576" s="4" t="s">
        <v>1005</v>
      </c>
      <c r="D576" s="4">
        <v>1</v>
      </c>
    </row>
    <row r="577" spans="3:4">
      <c r="C577" s="4" t="s">
        <v>1006</v>
      </c>
      <c r="D577" s="4">
        <v>1</v>
      </c>
    </row>
    <row r="578" spans="3:4">
      <c r="C578" s="4" t="s">
        <v>1007</v>
      </c>
      <c r="D578" s="4">
        <v>1</v>
      </c>
    </row>
    <row r="579" spans="3:4">
      <c r="C579" s="4" t="s">
        <v>1008</v>
      </c>
      <c r="D579" s="4">
        <v>1</v>
      </c>
    </row>
    <row r="580" spans="3:4">
      <c r="C580" s="4" t="s">
        <v>1009</v>
      </c>
      <c r="D580" s="4">
        <v>1</v>
      </c>
    </row>
    <row r="581" spans="3:4">
      <c r="C581" s="4" t="s">
        <v>1010</v>
      </c>
      <c r="D581" s="4">
        <v>1</v>
      </c>
    </row>
    <row r="582" spans="3:4">
      <c r="C582" s="4" t="s">
        <v>1011</v>
      </c>
      <c r="D582" s="4">
        <v>1</v>
      </c>
    </row>
    <row r="583" spans="3:4">
      <c r="C583" s="4" t="s">
        <v>451</v>
      </c>
      <c r="D583" s="4">
        <v>1</v>
      </c>
    </row>
    <row r="584" spans="3:4">
      <c r="C584" s="4" t="s">
        <v>340</v>
      </c>
      <c r="D584" s="4">
        <v>1</v>
      </c>
    </row>
    <row r="585" spans="3:4">
      <c r="C585" s="4" t="s">
        <v>1012</v>
      </c>
      <c r="D585" s="4">
        <v>1</v>
      </c>
    </row>
    <row r="586" spans="3:4">
      <c r="C586" s="4" t="s">
        <v>1013</v>
      </c>
      <c r="D586" s="4">
        <v>1</v>
      </c>
    </row>
    <row r="587" spans="3:4">
      <c r="C587" s="4" t="s">
        <v>1014</v>
      </c>
      <c r="D587" s="4">
        <v>1</v>
      </c>
    </row>
    <row r="588" spans="3:4">
      <c r="C588" s="4" t="s">
        <v>1015</v>
      </c>
      <c r="D588" s="4">
        <v>1</v>
      </c>
    </row>
    <row r="589" spans="3:4">
      <c r="C589" s="4" t="s">
        <v>1016</v>
      </c>
      <c r="D589" s="4">
        <v>1</v>
      </c>
    </row>
    <row r="590" spans="3:4">
      <c r="C590" s="4" t="s">
        <v>1017</v>
      </c>
      <c r="D590" s="4">
        <v>1</v>
      </c>
    </row>
    <row r="591" spans="3:4">
      <c r="C591" s="4" t="s">
        <v>1018</v>
      </c>
      <c r="D591" s="4">
        <v>1</v>
      </c>
    </row>
    <row r="592" spans="3:4">
      <c r="C592" s="4" t="s">
        <v>1019</v>
      </c>
      <c r="D592" s="4">
        <v>1</v>
      </c>
    </row>
    <row r="593" spans="3:4">
      <c r="C593" s="4" t="s">
        <v>1020</v>
      </c>
      <c r="D593" s="4">
        <v>1</v>
      </c>
    </row>
    <row r="594" spans="3:4">
      <c r="C594" s="4" t="s">
        <v>1021</v>
      </c>
      <c r="D594" s="4">
        <v>1</v>
      </c>
    </row>
    <row r="595" spans="3:4">
      <c r="C595" s="4" t="s">
        <v>1022</v>
      </c>
      <c r="D595" s="4">
        <v>1</v>
      </c>
    </row>
    <row r="596" spans="3:4">
      <c r="C596" s="4" t="s">
        <v>1023</v>
      </c>
      <c r="D596" s="4">
        <v>1</v>
      </c>
    </row>
    <row r="597" spans="3:4">
      <c r="C597" s="4" t="s">
        <v>1024</v>
      </c>
      <c r="D597" s="4">
        <v>1</v>
      </c>
    </row>
    <row r="598" spans="3:4">
      <c r="C598" s="4" t="s">
        <v>1025</v>
      </c>
      <c r="D598" s="4">
        <v>1</v>
      </c>
    </row>
    <row r="599" spans="3:4">
      <c r="C599" s="4" t="s">
        <v>1026</v>
      </c>
      <c r="D599" s="4">
        <v>1</v>
      </c>
    </row>
    <row r="600" spans="3:4">
      <c r="C600" s="4" t="s">
        <v>1027</v>
      </c>
      <c r="D600" s="4">
        <v>1</v>
      </c>
    </row>
    <row r="601" spans="3:4">
      <c r="C601" s="4" t="s">
        <v>1028</v>
      </c>
      <c r="D601" s="4">
        <v>1</v>
      </c>
    </row>
    <row r="602" spans="3:4">
      <c r="C602" s="4" t="s">
        <v>1029</v>
      </c>
      <c r="D602" s="4">
        <v>1</v>
      </c>
    </row>
    <row r="603" spans="3:4">
      <c r="C603" s="4" t="s">
        <v>1030</v>
      </c>
      <c r="D603" s="4">
        <v>1</v>
      </c>
    </row>
    <row r="604" spans="3:4">
      <c r="C604" s="4" t="s">
        <v>1031</v>
      </c>
      <c r="D604" s="4">
        <v>1</v>
      </c>
    </row>
    <row r="605" spans="3:4">
      <c r="C605" s="4" t="s">
        <v>1032</v>
      </c>
      <c r="D605" s="4">
        <v>1</v>
      </c>
    </row>
    <row r="606" spans="3:4">
      <c r="C606" s="4" t="s">
        <v>1033</v>
      </c>
      <c r="D606" s="4">
        <v>1</v>
      </c>
    </row>
    <row r="607" spans="3:4">
      <c r="C607" s="4" t="s">
        <v>1034</v>
      </c>
      <c r="D607" s="4">
        <v>1</v>
      </c>
    </row>
    <row r="608" spans="3:4">
      <c r="C608" s="4" t="s">
        <v>1035</v>
      </c>
      <c r="D608" s="4">
        <v>1</v>
      </c>
    </row>
    <row r="609" spans="3:4">
      <c r="C609" s="4" t="s">
        <v>1036</v>
      </c>
      <c r="D609" s="4">
        <v>1</v>
      </c>
    </row>
    <row r="610" spans="3:4">
      <c r="C610" s="4" t="s">
        <v>1037</v>
      </c>
      <c r="D610" s="4">
        <v>1</v>
      </c>
    </row>
    <row r="611" spans="3:4">
      <c r="C611" s="4" t="s">
        <v>1038</v>
      </c>
      <c r="D611" s="4">
        <v>1</v>
      </c>
    </row>
    <row r="612" spans="3:4">
      <c r="C612" s="4" t="s">
        <v>1039</v>
      </c>
      <c r="D612" s="4">
        <v>1</v>
      </c>
    </row>
    <row r="613" spans="3:4">
      <c r="C613" s="4" t="s">
        <v>1040</v>
      </c>
      <c r="D613" s="4">
        <v>1</v>
      </c>
    </row>
    <row r="614" spans="3:4">
      <c r="C614" s="4" t="s">
        <v>1041</v>
      </c>
      <c r="D614" s="4">
        <v>1</v>
      </c>
    </row>
    <row r="615" spans="3:4">
      <c r="C615" s="4" t="s">
        <v>1042</v>
      </c>
      <c r="D615" s="4">
        <v>1</v>
      </c>
    </row>
    <row r="616" spans="3:4">
      <c r="C616" s="4" t="s">
        <v>1043</v>
      </c>
      <c r="D616" s="4">
        <v>1</v>
      </c>
    </row>
    <row r="617" spans="3:4">
      <c r="C617" s="4" t="s">
        <v>1044</v>
      </c>
      <c r="D617" s="4">
        <v>1</v>
      </c>
    </row>
    <row r="618" spans="3:4">
      <c r="C618" s="4" t="s">
        <v>1045</v>
      </c>
      <c r="D618" s="4">
        <v>1</v>
      </c>
    </row>
    <row r="619" spans="3:4">
      <c r="C619" s="4" t="s">
        <v>1046</v>
      </c>
      <c r="D619" s="4">
        <v>1</v>
      </c>
    </row>
    <row r="620" spans="3:4">
      <c r="C620" s="4" t="s">
        <v>1047</v>
      </c>
      <c r="D620" s="4">
        <v>1</v>
      </c>
    </row>
    <row r="621" spans="3:4">
      <c r="C621" s="4" t="s">
        <v>1048</v>
      </c>
      <c r="D621" s="4">
        <v>1</v>
      </c>
    </row>
  </sheetData>
  <mergeCells count="2">
    <mergeCell ref="F2:I22"/>
    <mergeCell ref="F1:I1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6"/>
  <sheetViews>
    <sheetView workbookViewId="0">
      <selection activeCell="K27" sqref="K27"/>
    </sheetView>
  </sheetViews>
  <sheetFormatPr defaultRowHeight="16.5"/>
  <sheetData>
    <row r="1" spans="2:13">
      <c r="G1" s="104" t="s">
        <v>1052</v>
      </c>
      <c r="H1" s="104"/>
      <c r="I1" s="104"/>
      <c r="J1" s="104"/>
      <c r="K1" s="104"/>
      <c r="L1" s="104"/>
      <c r="M1" s="104"/>
    </row>
    <row r="2" spans="2:13" ht="20.25" customHeight="1">
      <c r="B2" s="106" t="s">
        <v>85</v>
      </c>
      <c r="C2" s="106"/>
      <c r="D2" s="106"/>
      <c r="E2" s="106"/>
      <c r="G2" s="105" t="s">
        <v>1101</v>
      </c>
      <c r="H2" s="105"/>
      <c r="I2" s="105"/>
      <c r="J2" s="105"/>
      <c r="K2" s="105"/>
      <c r="L2" s="105"/>
      <c r="M2" s="105"/>
    </row>
    <row r="3" spans="2:13" ht="16.5" customHeight="1">
      <c r="B3" s="2" t="s">
        <v>17</v>
      </c>
      <c r="C3" s="2" t="s">
        <v>18</v>
      </c>
      <c r="D3" s="2" t="s">
        <v>19</v>
      </c>
      <c r="E3" s="2" t="s">
        <v>20</v>
      </c>
      <c r="G3" s="105"/>
      <c r="H3" s="105"/>
      <c r="I3" s="105"/>
      <c r="J3" s="105"/>
      <c r="K3" s="105"/>
      <c r="L3" s="105"/>
      <c r="M3" s="105"/>
    </row>
    <row r="4" spans="2:13" ht="16.5" customHeight="1">
      <c r="B4" s="3" t="s">
        <v>21</v>
      </c>
      <c r="C4" s="6">
        <f>C11/C13</f>
        <v>0.35142776364150408</v>
      </c>
      <c r="D4" s="6">
        <f>D11/D13</f>
        <v>0.39144385026737966</v>
      </c>
      <c r="E4" s="6">
        <f>E11/E13</f>
        <v>0.40099374309900626</v>
      </c>
      <c r="G4" s="105"/>
      <c r="H4" s="105"/>
      <c r="I4" s="105"/>
      <c r="J4" s="105"/>
      <c r="K4" s="105"/>
      <c r="L4" s="105"/>
      <c r="M4" s="105"/>
    </row>
    <row r="5" spans="2:13" ht="16.5" customHeight="1">
      <c r="B5" s="3" t="s">
        <v>22</v>
      </c>
      <c r="C5" s="6">
        <f>C12/C13</f>
        <v>0.64857223635849592</v>
      </c>
      <c r="D5" s="6">
        <f>D12/D13</f>
        <v>0.60855614973262029</v>
      </c>
      <c r="E5" s="6">
        <f>E12/E13</f>
        <v>0.59900625690099374</v>
      </c>
      <c r="G5" s="105"/>
      <c r="H5" s="105"/>
      <c r="I5" s="105"/>
      <c r="J5" s="105"/>
      <c r="K5" s="105"/>
      <c r="L5" s="105"/>
      <c r="M5" s="105"/>
    </row>
    <row r="6" spans="2:13" ht="16.5" customHeight="1">
      <c r="B6" s="50" t="s">
        <v>23</v>
      </c>
      <c r="C6" s="52">
        <v>1</v>
      </c>
      <c r="D6" s="52">
        <v>1</v>
      </c>
      <c r="E6" s="52">
        <v>1</v>
      </c>
      <c r="G6" s="105"/>
      <c r="H6" s="105"/>
      <c r="I6" s="105"/>
      <c r="J6" s="105"/>
      <c r="K6" s="105"/>
      <c r="L6" s="105"/>
      <c r="M6" s="105"/>
    </row>
    <row r="7" spans="2:13" ht="16.5" customHeight="1">
      <c r="G7" s="105"/>
      <c r="H7" s="105"/>
      <c r="I7" s="105"/>
      <c r="J7" s="105"/>
      <c r="K7" s="105"/>
      <c r="L7" s="105"/>
      <c r="M7" s="105"/>
    </row>
    <row r="8" spans="2:13" ht="16.5" customHeight="1">
      <c r="G8" s="105"/>
      <c r="H8" s="105"/>
      <c r="I8" s="105"/>
      <c r="J8" s="105"/>
      <c r="K8" s="105"/>
      <c r="L8" s="105"/>
      <c r="M8" s="105"/>
    </row>
    <row r="9" spans="2:13" ht="20.25">
      <c r="B9" s="106" t="s">
        <v>86</v>
      </c>
      <c r="C9" s="106"/>
      <c r="D9" s="106"/>
      <c r="E9" s="106"/>
      <c r="G9" s="105"/>
      <c r="H9" s="105"/>
      <c r="I9" s="105"/>
      <c r="J9" s="105"/>
      <c r="K9" s="105"/>
      <c r="L9" s="105"/>
      <c r="M9" s="105"/>
    </row>
    <row r="10" spans="2:13" ht="16.5" customHeight="1">
      <c r="B10" s="44" t="s">
        <v>17</v>
      </c>
      <c r="C10" s="44" t="s">
        <v>18</v>
      </c>
      <c r="D10" s="44" t="s">
        <v>19</v>
      </c>
      <c r="E10" s="44" t="s">
        <v>20</v>
      </c>
      <c r="G10" s="105"/>
      <c r="H10" s="105"/>
      <c r="I10" s="105"/>
      <c r="J10" s="105"/>
      <c r="K10" s="105"/>
      <c r="L10" s="105"/>
      <c r="M10" s="105"/>
    </row>
    <row r="11" spans="2:13" ht="16.5" customHeight="1">
      <c r="B11" s="3" t="s">
        <v>21</v>
      </c>
      <c r="C11" s="7">
        <v>1243</v>
      </c>
      <c r="D11" s="7">
        <v>1464</v>
      </c>
      <c r="E11" s="7">
        <v>2179</v>
      </c>
      <c r="G11" s="105"/>
      <c r="H11" s="105"/>
      <c r="I11" s="105"/>
      <c r="J11" s="105"/>
      <c r="K11" s="105"/>
      <c r="L11" s="105"/>
      <c r="M11" s="105"/>
    </row>
    <row r="12" spans="2:13" ht="16.5" customHeight="1">
      <c r="B12" s="3" t="s">
        <v>22</v>
      </c>
      <c r="C12" s="7">
        <v>2294</v>
      </c>
      <c r="D12" s="7">
        <v>2276</v>
      </c>
      <c r="E12" s="7">
        <v>3255</v>
      </c>
      <c r="G12" s="105"/>
      <c r="H12" s="105"/>
      <c r="I12" s="105"/>
      <c r="J12" s="105"/>
      <c r="K12" s="105"/>
      <c r="L12" s="105"/>
      <c r="M12" s="105"/>
    </row>
    <row r="13" spans="2:13" ht="16.5" customHeight="1">
      <c r="B13" s="50" t="s">
        <v>23</v>
      </c>
      <c r="C13" s="51">
        <f>SUM(C11:C12)</f>
        <v>3537</v>
      </c>
      <c r="D13" s="51">
        <f>SUM(D11:D12)</f>
        <v>3740</v>
      </c>
      <c r="E13" s="51">
        <f>SUM(E11:E12)</f>
        <v>5434</v>
      </c>
      <c r="G13" s="105"/>
      <c r="H13" s="105"/>
      <c r="I13" s="105"/>
      <c r="J13" s="105"/>
      <c r="K13" s="105"/>
      <c r="L13" s="105"/>
      <c r="M13" s="105"/>
    </row>
    <row r="14" spans="2:13" ht="16.5" customHeight="1">
      <c r="G14" s="105"/>
      <c r="H14" s="105"/>
      <c r="I14" s="105"/>
      <c r="J14" s="105"/>
      <c r="K14" s="105"/>
      <c r="L14" s="105"/>
      <c r="M14" s="105"/>
    </row>
    <row r="15" spans="2:13" ht="16.5" customHeight="1">
      <c r="G15" s="105"/>
      <c r="H15" s="105"/>
      <c r="I15" s="105"/>
      <c r="J15" s="105"/>
      <c r="K15" s="105"/>
      <c r="L15" s="105"/>
      <c r="M15" s="105"/>
    </row>
    <row r="16" spans="2:13" ht="16.5" customHeight="1">
      <c r="G16" s="105"/>
      <c r="H16" s="105"/>
      <c r="I16" s="105"/>
      <c r="J16" s="105"/>
      <c r="K16" s="105"/>
      <c r="L16" s="105"/>
      <c r="M16" s="105"/>
    </row>
    <row r="17" spans="7:13" ht="16.5" customHeight="1">
      <c r="G17" s="105"/>
      <c r="H17" s="105"/>
      <c r="I17" s="105"/>
      <c r="J17" s="105"/>
      <c r="K17" s="105"/>
      <c r="L17" s="105"/>
      <c r="M17" s="105"/>
    </row>
    <row r="18" spans="7:13" ht="16.5" customHeight="1">
      <c r="G18" s="105"/>
      <c r="H18" s="105"/>
      <c r="I18" s="105"/>
      <c r="J18" s="105"/>
      <c r="K18" s="105"/>
      <c r="L18" s="105"/>
      <c r="M18" s="105"/>
    </row>
    <row r="19" spans="7:13" ht="16.5" customHeight="1">
      <c r="G19" s="105"/>
      <c r="H19" s="105"/>
      <c r="I19" s="105"/>
      <c r="J19" s="105"/>
      <c r="K19" s="105"/>
      <c r="L19" s="105"/>
      <c r="M19" s="105"/>
    </row>
    <row r="20" spans="7:13" ht="16.5" customHeight="1">
      <c r="G20" s="105"/>
      <c r="H20" s="105"/>
      <c r="I20" s="105"/>
      <c r="J20" s="105"/>
      <c r="K20" s="105"/>
      <c r="L20" s="105"/>
      <c r="M20" s="105"/>
    </row>
    <row r="21" spans="7:13" ht="16.5" customHeight="1">
      <c r="G21" s="105"/>
      <c r="H21" s="105"/>
      <c r="I21" s="105"/>
      <c r="J21" s="105"/>
      <c r="K21" s="105"/>
      <c r="L21" s="105"/>
      <c r="M21" s="105"/>
    </row>
    <row r="22" spans="7:13" ht="16.5" customHeight="1">
      <c r="G22" s="105"/>
      <c r="H22" s="105"/>
      <c r="I22" s="105"/>
      <c r="J22" s="105"/>
      <c r="K22" s="105"/>
      <c r="L22" s="105"/>
      <c r="M22" s="105"/>
    </row>
    <row r="23" spans="7:13" ht="16.5" customHeight="1">
      <c r="G23" s="105"/>
      <c r="H23" s="105"/>
      <c r="I23" s="105"/>
      <c r="J23" s="105"/>
      <c r="K23" s="105"/>
      <c r="L23" s="105"/>
      <c r="M23" s="105"/>
    </row>
    <row r="24" spans="7:13" ht="16.5" customHeight="1">
      <c r="G24" s="105"/>
      <c r="H24" s="105"/>
      <c r="I24" s="105"/>
      <c r="J24" s="105"/>
      <c r="K24" s="105"/>
      <c r="L24" s="105"/>
      <c r="M24" s="105"/>
    </row>
    <row r="25" spans="7:13" ht="16.5" customHeight="1">
      <c r="G25" s="105"/>
      <c r="H25" s="105"/>
      <c r="I25" s="105"/>
      <c r="J25" s="105"/>
      <c r="K25" s="105"/>
      <c r="L25" s="105"/>
      <c r="M25" s="105"/>
    </row>
    <row r="26" spans="7:13" ht="16.5" customHeight="1">
      <c r="G26" s="105"/>
      <c r="H26" s="105"/>
      <c r="I26" s="105"/>
      <c r="J26" s="105"/>
      <c r="K26" s="105"/>
      <c r="L26" s="105"/>
      <c r="M26" s="105"/>
    </row>
    <row r="27" spans="7:13" ht="16.5" customHeight="1">
      <c r="G27" s="55"/>
      <c r="H27" s="55"/>
      <c r="I27" s="55"/>
      <c r="J27" s="55"/>
      <c r="K27" s="55"/>
      <c r="L27" s="55"/>
      <c r="M27" s="55"/>
    </row>
    <row r="28" spans="7:13" ht="16.5" customHeight="1">
      <c r="G28" s="55"/>
      <c r="H28" s="55"/>
      <c r="I28" s="55"/>
      <c r="J28" s="55"/>
      <c r="K28" s="55"/>
      <c r="L28" s="55"/>
      <c r="M28" s="55"/>
    </row>
    <row r="29" spans="7:13" ht="16.5" customHeight="1">
      <c r="G29" s="55"/>
      <c r="H29" s="55"/>
      <c r="I29" s="55"/>
      <c r="J29" s="55"/>
      <c r="K29" s="55"/>
      <c r="L29" s="55"/>
      <c r="M29" s="55"/>
    </row>
    <row r="30" spans="7:13" ht="16.5" customHeight="1">
      <c r="G30" s="55"/>
      <c r="H30" s="55"/>
      <c r="I30" s="55"/>
      <c r="J30" s="55"/>
      <c r="K30" s="55"/>
      <c r="L30" s="55"/>
      <c r="M30" s="55"/>
    </row>
    <row r="31" spans="7:13">
      <c r="G31" s="55"/>
      <c r="H31" s="55"/>
      <c r="I31" s="55"/>
      <c r="J31" s="55"/>
      <c r="K31" s="55"/>
      <c r="L31" s="55"/>
      <c r="M31" s="55"/>
    </row>
    <row r="32" spans="7:13">
      <c r="G32" s="55"/>
      <c r="H32" s="55"/>
      <c r="I32" s="55"/>
      <c r="J32" s="55"/>
      <c r="K32" s="55"/>
      <c r="L32" s="55"/>
      <c r="M32" s="55"/>
    </row>
    <row r="33" spans="7:13">
      <c r="G33" s="55"/>
      <c r="H33" s="55"/>
      <c r="I33" s="55"/>
      <c r="J33" s="55"/>
      <c r="K33" s="55"/>
      <c r="L33" s="55"/>
      <c r="M33" s="55"/>
    </row>
    <row r="34" spans="7:13">
      <c r="G34" s="55"/>
      <c r="H34" s="55"/>
      <c r="I34" s="55"/>
      <c r="J34" s="55"/>
      <c r="K34" s="55"/>
      <c r="L34" s="55"/>
      <c r="M34" s="55"/>
    </row>
    <row r="35" spans="7:13">
      <c r="G35" s="55"/>
      <c r="H35" s="55"/>
      <c r="I35" s="55"/>
      <c r="J35" s="55"/>
      <c r="K35" s="55"/>
      <c r="L35" s="55"/>
      <c r="M35" s="55"/>
    </row>
    <row r="36" spans="7:13">
      <c r="G36" s="55"/>
      <c r="H36" s="55"/>
      <c r="I36" s="55"/>
      <c r="J36" s="55"/>
      <c r="K36" s="55"/>
      <c r="L36" s="55"/>
      <c r="M36" s="55"/>
    </row>
  </sheetData>
  <mergeCells count="4">
    <mergeCell ref="G1:M1"/>
    <mergeCell ref="G2:M26"/>
    <mergeCell ref="B9:E9"/>
    <mergeCell ref="B2:E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95"/>
  <sheetViews>
    <sheetView workbookViewId="0">
      <selection activeCell="P41" sqref="P41"/>
    </sheetView>
  </sheetViews>
  <sheetFormatPr defaultRowHeight="16.5"/>
  <cols>
    <col min="1" max="1" width="5.625" customWidth="1"/>
    <col min="2" max="2" width="7.125" customWidth="1"/>
    <col min="3" max="3" width="8.25" customWidth="1"/>
    <col min="4" max="4" width="6.875" customWidth="1"/>
    <col min="5" max="5" width="12.625" customWidth="1"/>
    <col min="6" max="6" width="4.875" customWidth="1"/>
    <col min="7" max="7" width="7.625" customWidth="1"/>
    <col min="8" max="8" width="6.625" bestFit="1" customWidth="1"/>
    <col min="9" max="9" width="6" customWidth="1"/>
    <col min="10" max="10" width="8.125" customWidth="1"/>
    <col min="11" max="11" width="5.875" customWidth="1"/>
    <col min="12" max="12" width="7.125" customWidth="1"/>
    <col min="14" max="14" width="6.75" customWidth="1"/>
  </cols>
  <sheetData>
    <row r="1" spans="1:23" ht="17.25">
      <c r="A1" s="113" t="s">
        <v>1082</v>
      </c>
      <c r="B1" s="113"/>
      <c r="C1" s="113"/>
      <c r="D1" s="113"/>
      <c r="E1" s="72"/>
      <c r="F1" s="72"/>
    </row>
    <row r="2" spans="1:23" ht="16.5" customHeight="1">
      <c r="A2" s="104" t="s">
        <v>13</v>
      </c>
      <c r="B2" s="104"/>
      <c r="C2" s="104"/>
      <c r="D2" s="104"/>
      <c r="E2" s="30"/>
      <c r="F2" s="114"/>
      <c r="G2" s="114"/>
      <c r="H2" s="114"/>
      <c r="I2" s="114"/>
      <c r="J2" s="114"/>
      <c r="K2" s="114"/>
      <c r="L2" s="61"/>
      <c r="M2" s="61"/>
      <c r="N2" s="61"/>
      <c r="O2" s="68"/>
      <c r="P2" s="68"/>
      <c r="Q2" s="68"/>
      <c r="R2" s="68"/>
      <c r="S2" s="68"/>
      <c r="T2" s="68"/>
      <c r="U2" s="68"/>
      <c r="V2" s="68"/>
      <c r="W2" s="60"/>
    </row>
    <row r="3" spans="1:23">
      <c r="A3" s="3" t="s">
        <v>25</v>
      </c>
      <c r="B3" s="3" t="s">
        <v>26</v>
      </c>
      <c r="C3" s="3" t="s">
        <v>27</v>
      </c>
      <c r="D3" s="3" t="s">
        <v>28</v>
      </c>
      <c r="E3" s="65" t="s">
        <v>1057</v>
      </c>
      <c r="F3" s="118" t="s">
        <v>1062</v>
      </c>
      <c r="G3" s="118"/>
      <c r="H3" s="41" t="s">
        <v>1063</v>
      </c>
      <c r="I3" s="41" t="s">
        <v>1064</v>
      </c>
      <c r="J3" s="41" t="s">
        <v>1065</v>
      </c>
      <c r="K3" s="41" t="s">
        <v>1066</v>
      </c>
      <c r="L3" s="43"/>
      <c r="M3" s="43"/>
      <c r="N3" s="43"/>
      <c r="O3" s="68"/>
      <c r="P3" s="68"/>
      <c r="Q3" s="68"/>
      <c r="R3" s="68"/>
      <c r="S3" s="68"/>
      <c r="T3" s="68"/>
      <c r="U3" s="68"/>
      <c r="V3" s="68"/>
      <c r="W3" s="60"/>
    </row>
    <row r="4" spans="1:23">
      <c r="A4" s="3" t="s">
        <v>1060</v>
      </c>
      <c r="B4" s="3">
        <v>19</v>
      </c>
      <c r="C4" s="50" t="s">
        <v>30</v>
      </c>
      <c r="D4" s="7">
        <v>91</v>
      </c>
      <c r="E4" s="117">
        <f>SUM(D4:D5)</f>
        <v>236</v>
      </c>
      <c r="F4" s="119" t="s">
        <v>1067</v>
      </c>
      <c r="G4" s="42" t="s">
        <v>1068</v>
      </c>
      <c r="H4" s="15">
        <v>0.16</v>
      </c>
      <c r="I4" s="15">
        <v>0.25</v>
      </c>
      <c r="J4" s="15">
        <v>0.17</v>
      </c>
      <c r="K4" s="15">
        <v>7.0000000000000007E-2</v>
      </c>
      <c r="L4" s="43"/>
      <c r="M4" s="43"/>
      <c r="N4" s="31"/>
      <c r="O4" s="68"/>
      <c r="P4" s="68"/>
      <c r="Q4" s="68"/>
      <c r="R4" s="68"/>
      <c r="S4" s="68"/>
      <c r="T4" s="68"/>
      <c r="U4" s="68"/>
      <c r="V4" s="68"/>
      <c r="W4" s="60"/>
    </row>
    <row r="5" spans="1:23">
      <c r="A5" s="3" t="s">
        <v>1060</v>
      </c>
      <c r="B5" s="3">
        <v>20</v>
      </c>
      <c r="C5" s="50" t="s">
        <v>30</v>
      </c>
      <c r="D5" s="7">
        <v>145</v>
      </c>
      <c r="E5" s="117"/>
      <c r="F5" s="120"/>
      <c r="G5" s="42" t="s">
        <v>45</v>
      </c>
      <c r="H5" s="15">
        <v>0.09</v>
      </c>
      <c r="I5" s="15">
        <v>0.13</v>
      </c>
      <c r="J5" s="15">
        <v>7.0000000000000007E-2</v>
      </c>
      <c r="K5" s="15">
        <v>0.04</v>
      </c>
      <c r="L5" s="43"/>
      <c r="M5" s="43"/>
      <c r="N5" s="31"/>
      <c r="O5" s="68"/>
      <c r="P5" s="68"/>
      <c r="Q5" s="68"/>
      <c r="R5" s="68"/>
      <c r="S5" s="68"/>
      <c r="T5" s="68"/>
      <c r="U5" s="68"/>
      <c r="V5" s="68"/>
      <c r="W5" s="60"/>
    </row>
    <row r="6" spans="1:23">
      <c r="A6" s="3" t="s">
        <v>1060</v>
      </c>
      <c r="B6" s="3">
        <v>30</v>
      </c>
      <c r="C6" s="50" t="s">
        <v>30</v>
      </c>
      <c r="D6" s="7">
        <v>140</v>
      </c>
      <c r="E6" s="31"/>
      <c r="F6" s="120"/>
      <c r="G6" s="42" t="s">
        <v>46</v>
      </c>
      <c r="H6" s="15">
        <v>0.23</v>
      </c>
      <c r="I6" s="15">
        <v>0.22</v>
      </c>
      <c r="J6" s="15">
        <v>0.26</v>
      </c>
      <c r="K6" s="15">
        <v>0.16</v>
      </c>
      <c r="L6" s="43"/>
      <c r="M6" s="43"/>
      <c r="N6" s="31"/>
      <c r="O6" s="68"/>
      <c r="P6" s="68"/>
      <c r="Q6" s="68"/>
      <c r="R6" s="68"/>
      <c r="S6" s="68"/>
      <c r="T6" s="68"/>
      <c r="U6" s="68"/>
      <c r="V6" s="68"/>
      <c r="W6" s="60"/>
    </row>
    <row r="7" spans="1:23">
      <c r="A7" s="3" t="s">
        <v>1060</v>
      </c>
      <c r="B7" s="3">
        <v>40</v>
      </c>
      <c r="C7" s="50" t="s">
        <v>30</v>
      </c>
      <c r="D7" s="7">
        <v>504</v>
      </c>
      <c r="E7" s="31"/>
      <c r="F7" s="120"/>
      <c r="G7" s="42" t="s">
        <v>1069</v>
      </c>
      <c r="H7" s="15">
        <v>0.31</v>
      </c>
      <c r="I7" s="15">
        <v>0.25</v>
      </c>
      <c r="J7" s="15">
        <v>0.36</v>
      </c>
      <c r="K7" s="15">
        <v>0.45</v>
      </c>
      <c r="L7" s="43"/>
      <c r="M7" s="43"/>
      <c r="N7" s="31"/>
      <c r="O7" s="68"/>
      <c r="P7" s="68"/>
      <c r="Q7" s="68"/>
      <c r="R7" s="68"/>
      <c r="S7" s="68"/>
      <c r="T7" s="68"/>
      <c r="U7" s="68"/>
      <c r="V7" s="68"/>
      <c r="W7" s="60"/>
    </row>
    <row r="8" spans="1:23">
      <c r="A8" s="3" t="s">
        <v>1060</v>
      </c>
      <c r="B8" s="3">
        <v>50</v>
      </c>
      <c r="C8" s="50" t="s">
        <v>30</v>
      </c>
      <c r="D8" s="7">
        <v>1437</v>
      </c>
      <c r="E8" s="31"/>
      <c r="F8" s="120"/>
      <c r="G8" s="42" t="s">
        <v>1070</v>
      </c>
      <c r="H8" s="15">
        <v>0.17</v>
      </c>
      <c r="I8" s="15">
        <v>0.12</v>
      </c>
      <c r="J8" s="15">
        <v>0.12</v>
      </c>
      <c r="K8" s="15">
        <v>0.25</v>
      </c>
      <c r="L8" s="43"/>
      <c r="M8" s="43"/>
      <c r="N8" s="31"/>
      <c r="O8" s="68"/>
      <c r="P8" s="68"/>
      <c r="Q8" s="68"/>
      <c r="R8" s="68"/>
      <c r="S8" s="68"/>
      <c r="T8" s="68"/>
      <c r="U8" s="68"/>
      <c r="V8" s="68"/>
      <c r="W8" s="60"/>
    </row>
    <row r="9" spans="1:23">
      <c r="A9" s="3" t="s">
        <v>1060</v>
      </c>
      <c r="B9" s="3">
        <v>60</v>
      </c>
      <c r="C9" s="50" t="s">
        <v>30</v>
      </c>
      <c r="D9" s="7">
        <v>813</v>
      </c>
      <c r="E9" s="31"/>
      <c r="F9" s="120"/>
      <c r="G9" s="42" t="s">
        <v>1071</v>
      </c>
      <c r="H9" s="15">
        <v>0.04</v>
      </c>
      <c r="I9" s="15">
        <v>0.03</v>
      </c>
      <c r="J9" s="15">
        <v>0.02</v>
      </c>
      <c r="K9" s="15">
        <v>0.03</v>
      </c>
      <c r="L9" s="43"/>
      <c r="M9" s="43"/>
      <c r="N9" s="31"/>
      <c r="O9" s="68"/>
      <c r="P9" s="68"/>
      <c r="Q9" s="68"/>
      <c r="R9" s="68"/>
      <c r="S9" s="68"/>
      <c r="T9" s="68"/>
      <c r="U9" s="68"/>
      <c r="V9" s="68"/>
      <c r="W9" s="60"/>
    </row>
    <row r="10" spans="1:23">
      <c r="A10" s="3" t="s">
        <v>1060</v>
      </c>
      <c r="B10" s="3">
        <v>70</v>
      </c>
      <c r="C10" s="50" t="s">
        <v>30</v>
      </c>
      <c r="D10" s="7">
        <v>95</v>
      </c>
      <c r="E10" s="31"/>
      <c r="F10" s="121"/>
      <c r="G10" s="42" t="s">
        <v>1072</v>
      </c>
      <c r="H10" s="16">
        <v>1</v>
      </c>
      <c r="I10" s="16">
        <v>1</v>
      </c>
      <c r="J10" s="16">
        <v>1</v>
      </c>
      <c r="K10" s="16">
        <f>SUM(K4:K9)</f>
        <v>1</v>
      </c>
      <c r="L10" s="43"/>
      <c r="M10" s="43"/>
      <c r="N10" s="31"/>
      <c r="O10" s="68"/>
      <c r="P10" s="68"/>
      <c r="Q10" s="68"/>
      <c r="R10" s="68"/>
      <c r="S10" s="68"/>
      <c r="T10" s="68"/>
      <c r="U10" s="68"/>
      <c r="V10" s="68"/>
      <c r="W10" s="60"/>
    </row>
    <row r="11" spans="1:23">
      <c r="A11" s="110" t="s">
        <v>1054</v>
      </c>
      <c r="B11" s="111"/>
      <c r="C11" s="112"/>
      <c r="D11" s="63">
        <f>SUM(D4:D10)</f>
        <v>3225</v>
      </c>
      <c r="E11" s="31"/>
      <c r="F11" s="116" t="s">
        <v>1073</v>
      </c>
      <c r="G11" s="42" t="s">
        <v>1074</v>
      </c>
      <c r="H11" s="15">
        <v>0.21</v>
      </c>
      <c r="I11" s="15">
        <v>0.28000000000000003</v>
      </c>
      <c r="J11" s="15">
        <v>0.25</v>
      </c>
      <c r="K11" s="15">
        <v>0.1</v>
      </c>
      <c r="L11" s="62"/>
      <c r="M11" s="62"/>
      <c r="N11" s="31"/>
      <c r="O11" s="68"/>
      <c r="P11" s="68"/>
      <c r="Q11" s="68"/>
      <c r="R11" s="68"/>
      <c r="S11" s="68"/>
      <c r="T11" s="68"/>
      <c r="U11" s="68"/>
      <c r="V11" s="68"/>
      <c r="W11" s="60"/>
    </row>
    <row r="12" spans="1:23">
      <c r="A12" s="3" t="s">
        <v>1061</v>
      </c>
      <c r="B12" s="3">
        <v>19</v>
      </c>
      <c r="C12" s="50" t="s">
        <v>1053</v>
      </c>
      <c r="D12" s="7">
        <v>139</v>
      </c>
      <c r="E12" s="117">
        <f>SUM(D12:D13)</f>
        <v>223</v>
      </c>
      <c r="F12" s="116"/>
      <c r="G12" s="42" t="s">
        <v>1075</v>
      </c>
      <c r="H12" s="15">
        <v>0.08</v>
      </c>
      <c r="I12" s="15">
        <v>0.13</v>
      </c>
      <c r="J12" s="15">
        <v>0.05</v>
      </c>
      <c r="K12" s="15">
        <v>0.04</v>
      </c>
      <c r="L12" s="43"/>
      <c r="M12" s="43"/>
      <c r="N12" s="31"/>
      <c r="O12" s="68"/>
      <c r="P12" s="68"/>
      <c r="Q12" s="68"/>
      <c r="R12" s="68"/>
      <c r="S12" s="68"/>
      <c r="T12" s="68"/>
      <c r="U12" s="68"/>
      <c r="V12" s="68"/>
      <c r="W12" s="60"/>
    </row>
    <row r="13" spans="1:23">
      <c r="A13" s="3" t="s">
        <v>1061</v>
      </c>
      <c r="B13" s="3">
        <v>20</v>
      </c>
      <c r="C13" s="50" t="s">
        <v>1053</v>
      </c>
      <c r="D13" s="7">
        <v>84</v>
      </c>
      <c r="E13" s="117"/>
      <c r="F13" s="116"/>
      <c r="G13" s="42" t="s">
        <v>1076</v>
      </c>
      <c r="H13" s="17">
        <v>0.2</v>
      </c>
      <c r="I13" s="17">
        <v>0.21</v>
      </c>
      <c r="J13" s="17">
        <v>0.19</v>
      </c>
      <c r="K13" s="17">
        <v>0.11</v>
      </c>
      <c r="L13" s="43"/>
      <c r="M13" s="43"/>
      <c r="N13" s="31"/>
      <c r="O13" s="68"/>
      <c r="P13" s="68"/>
      <c r="Q13" s="68"/>
      <c r="R13" s="68"/>
      <c r="S13" s="68"/>
      <c r="T13" s="68"/>
      <c r="U13" s="68"/>
      <c r="V13" s="68"/>
      <c r="W13" s="60"/>
    </row>
    <row r="14" spans="1:23">
      <c r="A14" s="3" t="s">
        <v>1061</v>
      </c>
      <c r="B14" s="3">
        <v>30</v>
      </c>
      <c r="C14" s="50" t="s">
        <v>1053</v>
      </c>
      <c r="D14" s="7">
        <v>93</v>
      </c>
      <c r="E14" s="31"/>
      <c r="F14" s="116"/>
      <c r="G14" s="42" t="s">
        <v>1077</v>
      </c>
      <c r="H14" s="17">
        <v>0.27</v>
      </c>
      <c r="I14" s="17">
        <v>0.21</v>
      </c>
      <c r="J14" s="17">
        <v>0.31</v>
      </c>
      <c r="K14" s="17">
        <v>0.36</v>
      </c>
      <c r="L14" s="43"/>
      <c r="M14" s="43"/>
      <c r="N14" s="31"/>
      <c r="O14" s="68"/>
      <c r="P14" s="68"/>
      <c r="Q14" s="68"/>
      <c r="R14" s="68"/>
      <c r="S14" s="68"/>
      <c r="T14" s="68"/>
      <c r="U14" s="68"/>
      <c r="V14" s="68"/>
      <c r="W14" s="60"/>
    </row>
    <row r="15" spans="1:23">
      <c r="A15" s="3" t="s">
        <v>1061</v>
      </c>
      <c r="B15" s="3">
        <v>40</v>
      </c>
      <c r="C15" s="50" t="s">
        <v>1053</v>
      </c>
      <c r="D15" s="7">
        <v>237</v>
      </c>
      <c r="E15" s="31"/>
      <c r="F15" s="116"/>
      <c r="G15" s="42" t="s">
        <v>1078</v>
      </c>
      <c r="H15" s="18">
        <v>0.19</v>
      </c>
      <c r="I15" s="18">
        <v>0.13</v>
      </c>
      <c r="J15" s="18">
        <v>0.18</v>
      </c>
      <c r="K15" s="18">
        <v>0.32</v>
      </c>
      <c r="L15" s="43"/>
      <c r="M15" s="43"/>
      <c r="N15" s="31"/>
      <c r="O15" s="68"/>
      <c r="P15" s="68"/>
      <c r="Q15" s="68"/>
      <c r="R15" s="68"/>
      <c r="S15" s="68"/>
      <c r="T15" s="68"/>
      <c r="U15" s="68"/>
      <c r="V15" s="68"/>
      <c r="W15" s="60"/>
    </row>
    <row r="16" spans="1:23">
      <c r="A16" s="3" t="s">
        <v>1061</v>
      </c>
      <c r="B16" s="3">
        <v>50</v>
      </c>
      <c r="C16" s="50" t="s">
        <v>1053</v>
      </c>
      <c r="D16" s="7">
        <v>769</v>
      </c>
      <c r="E16" s="30"/>
      <c r="F16" s="116"/>
      <c r="G16" s="42" t="s">
        <v>1079</v>
      </c>
      <c r="H16" s="18">
        <v>0.05</v>
      </c>
      <c r="I16" s="18">
        <v>0.03</v>
      </c>
      <c r="J16" s="18">
        <v>0.03</v>
      </c>
      <c r="K16" s="18">
        <v>7.0000000000000007E-2</v>
      </c>
      <c r="L16" s="43"/>
      <c r="M16" s="43"/>
      <c r="N16" s="31"/>
      <c r="O16" s="68"/>
      <c r="P16" s="68"/>
      <c r="Q16" s="68"/>
      <c r="R16" s="68"/>
      <c r="S16" s="68"/>
      <c r="T16" s="68"/>
      <c r="U16" s="68"/>
      <c r="V16" s="68"/>
      <c r="W16" s="60"/>
    </row>
    <row r="17" spans="1:23">
      <c r="A17" s="3" t="s">
        <v>1061</v>
      </c>
      <c r="B17" s="3">
        <v>60</v>
      </c>
      <c r="C17" s="50" t="s">
        <v>1053</v>
      </c>
      <c r="D17" s="7">
        <v>686</v>
      </c>
      <c r="E17" s="30"/>
      <c r="F17" s="116"/>
      <c r="G17" s="12" t="s">
        <v>1080</v>
      </c>
      <c r="H17" s="16">
        <v>1</v>
      </c>
      <c r="I17" s="16">
        <v>1</v>
      </c>
      <c r="J17" s="16">
        <v>1</v>
      </c>
      <c r="K17" s="16">
        <f>SUM(K11:K16)</f>
        <v>1</v>
      </c>
      <c r="L17" s="43"/>
      <c r="M17" s="43"/>
      <c r="N17" s="31"/>
      <c r="O17" s="68"/>
      <c r="P17" s="68"/>
      <c r="Q17" s="68"/>
      <c r="R17" s="68"/>
      <c r="S17" s="68"/>
      <c r="T17" s="68"/>
      <c r="U17" s="68"/>
      <c r="V17" s="68"/>
      <c r="W17" s="60"/>
    </row>
    <row r="18" spans="1:23">
      <c r="A18" s="3" t="s">
        <v>1061</v>
      </c>
      <c r="B18" s="3">
        <v>70</v>
      </c>
      <c r="C18" s="50" t="s">
        <v>1053</v>
      </c>
      <c r="D18" s="7">
        <v>143</v>
      </c>
      <c r="E18" s="30"/>
      <c r="F18" s="43"/>
      <c r="G18" s="43"/>
      <c r="H18" s="43"/>
      <c r="I18" s="31"/>
      <c r="J18" s="43"/>
      <c r="K18" s="43"/>
      <c r="L18" s="43"/>
      <c r="M18" s="43"/>
      <c r="N18" s="31"/>
      <c r="O18" s="68"/>
      <c r="P18" s="68"/>
      <c r="Q18" s="68"/>
      <c r="R18" s="68"/>
      <c r="S18" s="68"/>
      <c r="T18" s="68"/>
      <c r="U18" s="68"/>
      <c r="V18" s="68"/>
      <c r="W18" s="60"/>
    </row>
    <row r="19" spans="1:23">
      <c r="A19" s="110" t="s">
        <v>1054</v>
      </c>
      <c r="B19" s="111"/>
      <c r="C19" s="112"/>
      <c r="D19" s="63">
        <f>SUM(D12:D18)</f>
        <v>2151</v>
      </c>
      <c r="E19" s="30"/>
      <c r="F19" s="62"/>
      <c r="G19" s="62"/>
      <c r="H19" s="62"/>
      <c r="I19" s="31"/>
      <c r="J19" s="43"/>
      <c r="K19" s="62"/>
      <c r="L19" s="62"/>
      <c r="M19" s="62"/>
      <c r="N19" s="31"/>
      <c r="O19" s="68"/>
      <c r="P19" s="68"/>
      <c r="Q19" s="68"/>
      <c r="R19" s="68"/>
      <c r="S19" s="68"/>
      <c r="T19" s="68"/>
      <c r="U19" s="68"/>
      <c r="V19" s="68"/>
      <c r="W19" s="60"/>
    </row>
    <row r="20" spans="1:23">
      <c r="A20" s="30"/>
      <c r="B20" s="43"/>
      <c r="C20" s="43"/>
      <c r="D20" s="43"/>
      <c r="E20" s="31"/>
      <c r="F20" s="104" t="s">
        <v>1081</v>
      </c>
      <c r="G20" s="104"/>
      <c r="H20" s="104"/>
      <c r="I20" s="104"/>
      <c r="J20" s="104"/>
      <c r="K20" s="104"/>
      <c r="L20" s="104"/>
      <c r="M20" s="104"/>
      <c r="N20" s="104"/>
      <c r="O20" s="68"/>
      <c r="P20" s="68"/>
      <c r="Q20" s="68"/>
      <c r="R20" s="68"/>
      <c r="S20" s="68"/>
      <c r="T20" s="68"/>
      <c r="U20" s="68"/>
      <c r="V20" s="68"/>
      <c r="W20" s="60"/>
    </row>
    <row r="21" spans="1:23" ht="20.25" customHeight="1">
      <c r="A21" s="32"/>
      <c r="B21" s="57"/>
      <c r="C21" s="57"/>
      <c r="D21" s="39"/>
      <c r="E21" s="39"/>
      <c r="F21" s="115" t="s">
        <v>1102</v>
      </c>
      <c r="G21" s="115"/>
      <c r="H21" s="115"/>
      <c r="I21" s="115"/>
      <c r="J21" s="115"/>
      <c r="K21" s="115"/>
      <c r="L21" s="115"/>
      <c r="M21" s="115"/>
      <c r="N21" s="115"/>
      <c r="O21" s="68"/>
      <c r="P21" s="68"/>
      <c r="Q21" s="68"/>
      <c r="R21" s="68"/>
      <c r="S21" s="68"/>
      <c r="T21" s="68"/>
      <c r="U21" s="68"/>
      <c r="V21" s="68"/>
      <c r="W21" s="60"/>
    </row>
    <row r="22" spans="1:23">
      <c r="A22" s="104" t="s">
        <v>1055</v>
      </c>
      <c r="B22" s="104"/>
      <c r="C22" s="104"/>
      <c r="D22" s="104"/>
      <c r="E22" s="33"/>
      <c r="F22" s="115"/>
      <c r="G22" s="115"/>
      <c r="H22" s="115"/>
      <c r="I22" s="115"/>
      <c r="J22" s="115"/>
      <c r="K22" s="115"/>
      <c r="L22" s="115"/>
      <c r="M22" s="115"/>
      <c r="N22" s="115"/>
      <c r="O22" s="68"/>
      <c r="P22" s="68"/>
      <c r="Q22" s="68"/>
      <c r="R22" s="68"/>
      <c r="S22" s="68"/>
      <c r="T22" s="68"/>
      <c r="U22" s="68"/>
      <c r="V22" s="68"/>
      <c r="W22" s="60"/>
    </row>
    <row r="23" spans="1:23">
      <c r="A23" s="3" t="s">
        <v>25</v>
      </c>
      <c r="B23" s="3" t="s">
        <v>26</v>
      </c>
      <c r="C23" s="3" t="s">
        <v>27</v>
      </c>
      <c r="D23" s="3" t="s">
        <v>28</v>
      </c>
      <c r="E23" s="33"/>
      <c r="F23" s="115"/>
      <c r="G23" s="115"/>
      <c r="H23" s="115"/>
      <c r="I23" s="115"/>
      <c r="J23" s="115"/>
      <c r="K23" s="115"/>
      <c r="L23" s="115"/>
      <c r="M23" s="115"/>
      <c r="N23" s="115"/>
      <c r="O23" s="68"/>
      <c r="P23" s="68"/>
      <c r="Q23" s="68"/>
      <c r="R23" s="68"/>
      <c r="S23" s="68"/>
      <c r="T23" s="68"/>
      <c r="U23" s="68"/>
      <c r="V23" s="68"/>
      <c r="W23" s="60"/>
    </row>
    <row r="24" spans="1:23">
      <c r="A24" s="3" t="s">
        <v>1060</v>
      </c>
      <c r="B24" s="3">
        <v>19</v>
      </c>
      <c r="C24" s="50" t="s">
        <v>1056</v>
      </c>
      <c r="D24" s="3">
        <v>284</v>
      </c>
      <c r="E24" s="33"/>
      <c r="F24" s="115"/>
      <c r="G24" s="115"/>
      <c r="H24" s="115"/>
      <c r="I24" s="115"/>
      <c r="J24" s="115"/>
      <c r="K24" s="115"/>
      <c r="L24" s="115"/>
      <c r="M24" s="115"/>
      <c r="N24" s="115"/>
      <c r="O24" s="68"/>
      <c r="P24" s="68"/>
      <c r="Q24" s="68"/>
      <c r="R24" s="68"/>
      <c r="S24" s="68"/>
      <c r="T24" s="68"/>
      <c r="U24" s="68"/>
      <c r="V24" s="68"/>
      <c r="W24" s="60"/>
    </row>
    <row r="25" spans="1:23">
      <c r="A25" s="3" t="s">
        <v>1060</v>
      </c>
      <c r="B25" s="3">
        <v>20</v>
      </c>
      <c r="C25" s="50" t="s">
        <v>1056</v>
      </c>
      <c r="D25" s="3">
        <v>194</v>
      </c>
      <c r="E25" s="33"/>
      <c r="F25" s="115"/>
      <c r="G25" s="115"/>
      <c r="H25" s="115"/>
      <c r="I25" s="115"/>
      <c r="J25" s="115"/>
      <c r="K25" s="115"/>
      <c r="L25" s="115"/>
      <c r="M25" s="115"/>
      <c r="N25" s="115"/>
      <c r="O25" s="68"/>
      <c r="P25" s="68"/>
      <c r="Q25" s="68"/>
      <c r="R25" s="68"/>
      <c r="S25" s="68"/>
      <c r="T25" s="68"/>
      <c r="U25" s="68"/>
      <c r="V25" s="68"/>
      <c r="W25" s="60"/>
    </row>
    <row r="26" spans="1:23">
      <c r="A26" s="3" t="s">
        <v>1060</v>
      </c>
      <c r="B26" s="3">
        <v>30</v>
      </c>
      <c r="C26" s="50" t="s">
        <v>1056</v>
      </c>
      <c r="D26" s="3">
        <v>193</v>
      </c>
      <c r="E26" s="33"/>
      <c r="F26" s="115"/>
      <c r="G26" s="115"/>
      <c r="H26" s="115"/>
      <c r="I26" s="115"/>
      <c r="J26" s="115"/>
      <c r="K26" s="115"/>
      <c r="L26" s="115"/>
      <c r="M26" s="115"/>
      <c r="N26" s="115"/>
      <c r="O26" s="68"/>
      <c r="P26" s="68"/>
      <c r="Q26" s="68"/>
      <c r="R26" s="68"/>
      <c r="S26" s="68"/>
      <c r="T26" s="68"/>
      <c r="U26" s="68"/>
      <c r="V26" s="68"/>
      <c r="W26" s="60"/>
    </row>
    <row r="27" spans="1:23">
      <c r="A27" s="3" t="s">
        <v>1060</v>
      </c>
      <c r="B27" s="3">
        <v>40</v>
      </c>
      <c r="C27" s="50" t="s">
        <v>1056</v>
      </c>
      <c r="D27" s="3">
        <v>725</v>
      </c>
      <c r="E27" s="33"/>
      <c r="F27" s="115"/>
      <c r="G27" s="115"/>
      <c r="H27" s="115"/>
      <c r="I27" s="115"/>
      <c r="J27" s="115"/>
      <c r="K27" s="115"/>
      <c r="L27" s="115"/>
      <c r="M27" s="115"/>
      <c r="N27" s="115"/>
      <c r="O27" s="68"/>
      <c r="P27" s="68"/>
      <c r="Q27" s="68"/>
      <c r="R27" s="68"/>
      <c r="S27" s="68"/>
      <c r="T27" s="68"/>
      <c r="U27" s="68"/>
      <c r="V27" s="68"/>
      <c r="W27" s="60"/>
    </row>
    <row r="28" spans="1:23">
      <c r="A28" s="3" t="s">
        <v>1060</v>
      </c>
      <c r="B28" s="3">
        <v>50</v>
      </c>
      <c r="C28" s="50" t="s">
        <v>1056</v>
      </c>
      <c r="D28" s="3">
        <v>1001</v>
      </c>
      <c r="E28" s="34"/>
      <c r="F28" s="115"/>
      <c r="G28" s="115"/>
      <c r="H28" s="115"/>
      <c r="I28" s="115"/>
      <c r="J28" s="115"/>
      <c r="K28" s="115"/>
      <c r="L28" s="115"/>
      <c r="M28" s="115"/>
      <c r="N28" s="115"/>
      <c r="O28" s="68"/>
      <c r="P28" s="68"/>
      <c r="Q28" s="68"/>
      <c r="R28" s="68"/>
      <c r="S28" s="68"/>
      <c r="T28" s="68"/>
      <c r="U28" s="68"/>
      <c r="V28" s="68"/>
      <c r="W28" s="60"/>
    </row>
    <row r="29" spans="1:23">
      <c r="A29" s="3" t="s">
        <v>1060</v>
      </c>
      <c r="B29" s="3">
        <v>60</v>
      </c>
      <c r="C29" s="50" t="s">
        <v>1056</v>
      </c>
      <c r="D29" s="3">
        <v>324</v>
      </c>
      <c r="E29" s="33"/>
      <c r="F29" s="115"/>
      <c r="G29" s="115"/>
      <c r="H29" s="115"/>
      <c r="I29" s="115"/>
      <c r="J29" s="115"/>
      <c r="K29" s="115"/>
      <c r="L29" s="115"/>
      <c r="M29" s="115"/>
      <c r="N29" s="115"/>
      <c r="O29" s="68"/>
      <c r="P29" s="68"/>
      <c r="Q29" s="68"/>
      <c r="R29" s="68"/>
      <c r="S29" s="68"/>
      <c r="T29" s="68"/>
      <c r="U29" s="68"/>
      <c r="V29" s="68"/>
      <c r="W29" s="60"/>
    </row>
    <row r="30" spans="1:23">
      <c r="A30" s="3" t="s">
        <v>1060</v>
      </c>
      <c r="B30" s="3">
        <v>70</v>
      </c>
      <c r="C30" s="50" t="s">
        <v>1056</v>
      </c>
      <c r="D30" s="3">
        <v>54</v>
      </c>
      <c r="E30" s="33"/>
      <c r="F30" s="115"/>
      <c r="G30" s="115"/>
      <c r="H30" s="115"/>
      <c r="I30" s="115"/>
      <c r="J30" s="115"/>
      <c r="K30" s="115"/>
      <c r="L30" s="115"/>
      <c r="M30" s="115"/>
      <c r="N30" s="115"/>
      <c r="O30" s="68"/>
      <c r="P30" s="68"/>
      <c r="Q30" s="68"/>
      <c r="R30" s="68"/>
      <c r="S30" s="68"/>
      <c r="T30" s="68"/>
      <c r="U30" s="68"/>
      <c r="V30" s="68"/>
      <c r="W30" s="60"/>
    </row>
    <row r="31" spans="1:23">
      <c r="A31" s="107" t="s">
        <v>1054</v>
      </c>
      <c r="B31" s="108"/>
      <c r="C31" s="109"/>
      <c r="D31" s="64">
        <f>SUM(D24:D30)</f>
        <v>2775</v>
      </c>
      <c r="E31" s="35"/>
      <c r="F31" s="115"/>
      <c r="G31" s="115"/>
      <c r="H31" s="115"/>
      <c r="I31" s="115"/>
      <c r="J31" s="115"/>
      <c r="K31" s="115"/>
      <c r="L31" s="115"/>
      <c r="M31" s="115"/>
      <c r="N31" s="115"/>
      <c r="O31" s="68"/>
      <c r="P31" s="68"/>
      <c r="Q31" s="68"/>
      <c r="R31" s="68"/>
      <c r="S31" s="68"/>
      <c r="T31" s="68"/>
      <c r="U31" s="68"/>
      <c r="V31" s="68"/>
      <c r="W31" s="60"/>
    </row>
    <row r="32" spans="1:23">
      <c r="A32" s="3" t="s">
        <v>1061</v>
      </c>
      <c r="B32" s="3">
        <v>19</v>
      </c>
      <c r="C32" s="3" t="s">
        <v>130</v>
      </c>
      <c r="D32" s="3">
        <v>312</v>
      </c>
      <c r="E32" s="35"/>
      <c r="F32" s="115"/>
      <c r="G32" s="115"/>
      <c r="H32" s="115"/>
      <c r="I32" s="115"/>
      <c r="J32" s="115"/>
      <c r="K32" s="115"/>
      <c r="L32" s="115"/>
      <c r="M32" s="115"/>
      <c r="N32" s="115"/>
      <c r="O32" s="68"/>
      <c r="P32" s="68"/>
      <c r="Q32" s="68"/>
      <c r="R32" s="68"/>
      <c r="S32" s="68"/>
      <c r="T32" s="68"/>
      <c r="U32" s="68"/>
      <c r="V32" s="68"/>
      <c r="W32" s="60"/>
    </row>
    <row r="33" spans="1:23">
      <c r="A33" s="3" t="s">
        <v>1061</v>
      </c>
      <c r="B33" s="3">
        <v>20</v>
      </c>
      <c r="C33" s="3" t="s">
        <v>130</v>
      </c>
      <c r="D33" s="3">
        <v>110</v>
      </c>
      <c r="E33" s="36"/>
      <c r="F33" s="115"/>
      <c r="G33" s="115"/>
      <c r="H33" s="115"/>
      <c r="I33" s="115"/>
      <c r="J33" s="115"/>
      <c r="K33" s="115"/>
      <c r="L33" s="115"/>
      <c r="M33" s="115"/>
      <c r="N33" s="115"/>
      <c r="O33" s="68"/>
      <c r="P33" s="68"/>
      <c r="Q33" s="68"/>
      <c r="R33" s="68"/>
      <c r="S33" s="68"/>
      <c r="T33" s="68"/>
      <c r="U33" s="68"/>
      <c r="V33" s="68"/>
      <c r="W33" s="60"/>
    </row>
    <row r="34" spans="1:23">
      <c r="A34" s="3" t="s">
        <v>1061</v>
      </c>
      <c r="B34" s="3">
        <v>30</v>
      </c>
      <c r="C34" s="3" t="s">
        <v>130</v>
      </c>
      <c r="D34" s="3">
        <v>78</v>
      </c>
      <c r="E34" s="36"/>
      <c r="F34" s="115"/>
      <c r="G34" s="115"/>
      <c r="H34" s="115"/>
      <c r="I34" s="115"/>
      <c r="J34" s="115"/>
      <c r="K34" s="115"/>
      <c r="L34" s="115"/>
      <c r="M34" s="115"/>
      <c r="N34" s="115"/>
      <c r="O34" s="68"/>
      <c r="P34" s="68"/>
      <c r="Q34" s="68"/>
      <c r="R34" s="68"/>
      <c r="S34" s="68"/>
      <c r="T34" s="68"/>
      <c r="U34" s="68"/>
      <c r="V34" s="68"/>
      <c r="W34" s="60"/>
    </row>
    <row r="35" spans="1:23">
      <c r="A35" s="3" t="s">
        <v>1061</v>
      </c>
      <c r="B35" s="3">
        <v>40</v>
      </c>
      <c r="C35" s="3" t="s">
        <v>130</v>
      </c>
      <c r="D35" s="3">
        <v>318</v>
      </c>
      <c r="E35" s="34"/>
      <c r="F35" s="115"/>
      <c r="G35" s="115"/>
      <c r="H35" s="115"/>
      <c r="I35" s="115"/>
      <c r="J35" s="115"/>
      <c r="K35" s="115"/>
      <c r="L35" s="115"/>
      <c r="M35" s="115"/>
      <c r="N35" s="115"/>
      <c r="O35" s="68"/>
      <c r="P35" s="68"/>
      <c r="Q35" s="68"/>
      <c r="R35" s="68"/>
      <c r="S35" s="68"/>
      <c r="T35" s="68"/>
      <c r="U35" s="68"/>
      <c r="V35" s="68"/>
      <c r="W35" s="60"/>
    </row>
    <row r="36" spans="1:23">
      <c r="A36" s="3" t="s">
        <v>1061</v>
      </c>
      <c r="B36" s="3">
        <v>50</v>
      </c>
      <c r="C36" s="3" t="s">
        <v>130</v>
      </c>
      <c r="D36" s="3">
        <v>524</v>
      </c>
      <c r="E36" s="39"/>
      <c r="F36" s="115"/>
      <c r="G36" s="115"/>
      <c r="H36" s="115"/>
      <c r="I36" s="115"/>
      <c r="J36" s="115"/>
      <c r="K36" s="115"/>
      <c r="L36" s="115"/>
      <c r="M36" s="115"/>
      <c r="N36" s="115"/>
      <c r="O36" s="68"/>
      <c r="P36" s="68"/>
      <c r="Q36" s="68"/>
      <c r="R36" s="68"/>
      <c r="S36" s="68"/>
      <c r="T36" s="68"/>
      <c r="U36" s="68"/>
      <c r="V36" s="68"/>
      <c r="W36" s="60"/>
    </row>
    <row r="37" spans="1:23">
      <c r="A37" s="3" t="s">
        <v>1061</v>
      </c>
      <c r="B37" s="3">
        <v>60</v>
      </c>
      <c r="C37" s="3" t="s">
        <v>130</v>
      </c>
      <c r="D37" s="3">
        <v>304</v>
      </c>
      <c r="E37" s="59"/>
      <c r="F37" s="115"/>
      <c r="G37" s="115"/>
      <c r="H37" s="115"/>
      <c r="I37" s="115"/>
      <c r="J37" s="115"/>
      <c r="K37" s="115"/>
      <c r="L37" s="115"/>
      <c r="M37" s="115"/>
      <c r="N37" s="115"/>
      <c r="O37" s="68"/>
      <c r="P37" s="68"/>
      <c r="Q37" s="68"/>
      <c r="R37" s="68"/>
      <c r="S37" s="68"/>
      <c r="T37" s="68"/>
      <c r="U37" s="68"/>
      <c r="V37" s="68"/>
      <c r="W37" s="60"/>
    </row>
    <row r="38" spans="1:23">
      <c r="A38" s="3" t="s">
        <v>1061</v>
      </c>
      <c r="B38" s="3">
        <v>70</v>
      </c>
      <c r="C38" s="3" t="s">
        <v>130</v>
      </c>
      <c r="D38" s="3">
        <v>58</v>
      </c>
      <c r="E38" s="61"/>
      <c r="F38" s="115"/>
      <c r="G38" s="115"/>
      <c r="H38" s="115"/>
      <c r="I38" s="115"/>
      <c r="J38" s="115"/>
      <c r="K38" s="115"/>
      <c r="L38" s="115"/>
      <c r="M38" s="115"/>
      <c r="N38" s="115"/>
      <c r="O38" s="68"/>
      <c r="P38" s="68"/>
      <c r="Q38" s="68"/>
      <c r="R38" s="68"/>
      <c r="S38" s="68"/>
      <c r="T38" s="68"/>
      <c r="U38" s="68"/>
      <c r="V38" s="68"/>
      <c r="W38" s="60"/>
    </row>
    <row r="39" spans="1:23">
      <c r="A39" s="107" t="s">
        <v>1054</v>
      </c>
      <c r="B39" s="108"/>
      <c r="C39" s="109"/>
      <c r="D39" s="64">
        <f>SUM(D32:D38)</f>
        <v>1704</v>
      </c>
      <c r="E39" s="43"/>
      <c r="F39" s="115"/>
      <c r="G39" s="115"/>
      <c r="H39" s="115"/>
      <c r="I39" s="115"/>
      <c r="J39" s="115"/>
      <c r="K39" s="115"/>
      <c r="L39" s="115"/>
      <c r="M39" s="115"/>
      <c r="N39" s="115"/>
      <c r="O39" s="68"/>
      <c r="P39" s="68"/>
      <c r="Q39" s="68"/>
      <c r="R39" s="68"/>
      <c r="S39" s="68"/>
      <c r="T39" s="68"/>
      <c r="U39" s="68"/>
      <c r="V39" s="68"/>
      <c r="W39" s="60"/>
    </row>
    <row r="40" spans="1:23">
      <c r="A40" s="30"/>
      <c r="B40" s="43"/>
      <c r="C40" s="31"/>
      <c r="D40" s="43"/>
      <c r="E40" s="31"/>
      <c r="F40" s="115"/>
      <c r="G40" s="115"/>
      <c r="H40" s="115"/>
      <c r="I40" s="115"/>
      <c r="J40" s="115"/>
      <c r="K40" s="115"/>
      <c r="L40" s="115"/>
      <c r="M40" s="115"/>
      <c r="N40" s="115"/>
      <c r="O40" s="43"/>
      <c r="P40" s="60"/>
      <c r="Q40" s="60"/>
      <c r="R40" s="60"/>
      <c r="S40" s="60"/>
      <c r="T40" s="60"/>
      <c r="U40" s="60"/>
      <c r="V40" s="60"/>
      <c r="W40" s="60"/>
    </row>
    <row r="41" spans="1:23">
      <c r="A41" s="104" t="s">
        <v>13</v>
      </c>
      <c r="B41" s="104"/>
      <c r="C41" s="104"/>
      <c r="D41" s="104"/>
      <c r="E41" s="31"/>
      <c r="F41" s="115"/>
      <c r="G41" s="115"/>
      <c r="H41" s="115"/>
      <c r="I41" s="115"/>
      <c r="J41" s="115"/>
      <c r="K41" s="115"/>
      <c r="L41" s="115"/>
      <c r="M41" s="115"/>
      <c r="N41" s="115"/>
      <c r="O41" s="43"/>
      <c r="P41" s="60"/>
      <c r="Q41" s="60"/>
      <c r="R41" s="60"/>
      <c r="S41" s="60"/>
      <c r="T41" s="60"/>
      <c r="U41" s="60"/>
      <c r="V41" s="60"/>
      <c r="W41" s="60"/>
    </row>
    <row r="42" spans="1:23">
      <c r="A42" s="3" t="s">
        <v>25</v>
      </c>
      <c r="B42" s="3" t="s">
        <v>26</v>
      </c>
      <c r="C42" s="3" t="s">
        <v>27</v>
      </c>
      <c r="D42" s="3" t="s">
        <v>28</v>
      </c>
      <c r="E42" s="31"/>
      <c r="F42" s="115"/>
      <c r="G42" s="115"/>
      <c r="H42" s="115"/>
      <c r="I42" s="115"/>
      <c r="J42" s="115"/>
      <c r="K42" s="115"/>
      <c r="L42" s="115"/>
      <c r="M42" s="115"/>
      <c r="N42" s="115"/>
      <c r="O42" s="43"/>
      <c r="P42" s="60"/>
      <c r="Q42" s="60"/>
      <c r="R42" s="60"/>
      <c r="S42" s="60"/>
      <c r="T42" s="60"/>
      <c r="U42" s="60"/>
      <c r="V42" s="60"/>
      <c r="W42" s="60"/>
    </row>
    <row r="43" spans="1:23">
      <c r="A43" s="3" t="s">
        <v>1060</v>
      </c>
      <c r="B43" s="3">
        <v>19</v>
      </c>
      <c r="C43" s="3" t="s">
        <v>129</v>
      </c>
      <c r="D43" s="3">
        <v>2116</v>
      </c>
      <c r="E43" s="31"/>
      <c r="F43" s="115"/>
      <c r="G43" s="115"/>
      <c r="H43" s="115"/>
      <c r="I43" s="115"/>
      <c r="J43" s="115"/>
      <c r="K43" s="115"/>
      <c r="L43" s="115"/>
      <c r="M43" s="115"/>
      <c r="N43" s="115"/>
      <c r="O43" s="43"/>
      <c r="P43" s="60"/>
      <c r="Q43" s="60"/>
      <c r="R43" s="60"/>
      <c r="S43" s="60"/>
      <c r="T43" s="60"/>
      <c r="U43" s="60"/>
      <c r="V43" s="60"/>
      <c r="W43" s="60"/>
    </row>
    <row r="44" spans="1:23">
      <c r="A44" s="3" t="s">
        <v>1060</v>
      </c>
      <c r="B44" s="3">
        <v>20</v>
      </c>
      <c r="C44" s="3" t="s">
        <v>129</v>
      </c>
      <c r="D44" s="3">
        <v>1470</v>
      </c>
      <c r="E44" s="31"/>
      <c r="F44" s="115"/>
      <c r="G44" s="115"/>
      <c r="H44" s="115"/>
      <c r="I44" s="115"/>
      <c r="J44" s="115"/>
      <c r="K44" s="115"/>
      <c r="L44" s="115"/>
      <c r="M44" s="115"/>
      <c r="N44" s="115"/>
      <c r="O44" s="43"/>
      <c r="P44" s="60"/>
      <c r="Q44" s="60"/>
      <c r="R44" s="60"/>
      <c r="S44" s="60"/>
      <c r="T44" s="60"/>
      <c r="U44" s="60"/>
      <c r="V44" s="60"/>
      <c r="W44" s="60"/>
    </row>
    <row r="45" spans="1:23">
      <c r="A45" s="3" t="s">
        <v>1060</v>
      </c>
      <c r="B45" s="3">
        <v>30</v>
      </c>
      <c r="C45" s="3" t="s">
        <v>129</v>
      </c>
      <c r="D45" s="3">
        <v>1917</v>
      </c>
      <c r="E45" s="31"/>
      <c r="F45" s="115"/>
      <c r="G45" s="115"/>
      <c r="H45" s="115"/>
      <c r="I45" s="115"/>
      <c r="J45" s="115"/>
      <c r="K45" s="115"/>
      <c r="L45" s="115"/>
      <c r="M45" s="115"/>
      <c r="N45" s="115"/>
      <c r="O45" s="43"/>
      <c r="P45" s="60"/>
      <c r="Q45" s="60"/>
      <c r="R45" s="60"/>
      <c r="S45" s="60"/>
      <c r="T45" s="60"/>
      <c r="U45" s="60"/>
      <c r="V45" s="60"/>
      <c r="W45" s="60"/>
    </row>
    <row r="46" spans="1:23">
      <c r="A46" s="3" t="s">
        <v>1060</v>
      </c>
      <c r="B46" s="3">
        <v>40</v>
      </c>
      <c r="C46" s="3" t="s">
        <v>129</v>
      </c>
      <c r="D46" s="3">
        <v>3147</v>
      </c>
      <c r="E46" s="31"/>
      <c r="F46" s="115"/>
      <c r="G46" s="115"/>
      <c r="H46" s="115"/>
      <c r="I46" s="115"/>
      <c r="J46" s="115"/>
      <c r="K46" s="115"/>
      <c r="L46" s="115"/>
      <c r="M46" s="115"/>
      <c r="N46" s="115"/>
      <c r="O46" s="43"/>
      <c r="P46" s="60"/>
      <c r="Q46" s="60"/>
      <c r="R46" s="60"/>
      <c r="S46" s="60"/>
      <c r="T46" s="60"/>
      <c r="U46" s="60"/>
      <c r="V46" s="60"/>
      <c r="W46" s="60"/>
    </row>
    <row r="47" spans="1:23">
      <c r="A47" s="3" t="s">
        <v>1060</v>
      </c>
      <c r="B47" s="3">
        <v>50</v>
      </c>
      <c r="C47" s="3" t="s">
        <v>129</v>
      </c>
      <c r="D47" s="3">
        <v>3607</v>
      </c>
      <c r="E47" s="31"/>
      <c r="F47" s="115"/>
      <c r="G47" s="115"/>
      <c r="H47" s="115"/>
      <c r="I47" s="115"/>
      <c r="J47" s="115"/>
      <c r="K47" s="115"/>
      <c r="L47" s="115"/>
      <c r="M47" s="115"/>
      <c r="N47" s="115"/>
      <c r="O47" s="43"/>
      <c r="P47" s="60"/>
      <c r="Q47" s="60"/>
      <c r="R47" s="60"/>
      <c r="S47" s="60"/>
      <c r="T47" s="60"/>
      <c r="U47" s="60"/>
      <c r="V47" s="60"/>
      <c r="W47" s="60"/>
    </row>
    <row r="48" spans="1:23">
      <c r="A48" s="3" t="s">
        <v>1060</v>
      </c>
      <c r="B48" s="3">
        <v>60</v>
      </c>
      <c r="C48" s="3" t="s">
        <v>129</v>
      </c>
      <c r="D48" s="3">
        <v>1781</v>
      </c>
      <c r="E48" s="31"/>
      <c r="F48" s="115"/>
      <c r="G48" s="115"/>
      <c r="H48" s="115"/>
      <c r="I48" s="115"/>
      <c r="J48" s="115"/>
      <c r="K48" s="115"/>
      <c r="L48" s="115"/>
      <c r="M48" s="115"/>
      <c r="N48" s="115"/>
      <c r="O48" s="43"/>
      <c r="P48" s="60"/>
      <c r="Q48" s="60"/>
      <c r="R48" s="60"/>
      <c r="S48" s="60"/>
      <c r="T48" s="60"/>
      <c r="U48" s="60"/>
      <c r="V48" s="60"/>
      <c r="W48" s="60"/>
    </row>
    <row r="49" spans="1:23">
      <c r="A49" s="3" t="s">
        <v>1060</v>
      </c>
      <c r="B49" s="3">
        <v>70</v>
      </c>
      <c r="C49" s="3" t="s">
        <v>129</v>
      </c>
      <c r="D49" s="3">
        <v>392</v>
      </c>
      <c r="E49" s="31"/>
      <c r="F49" s="115"/>
      <c r="G49" s="115"/>
      <c r="H49" s="115"/>
      <c r="I49" s="115"/>
      <c r="J49" s="115"/>
      <c r="K49" s="115"/>
      <c r="L49" s="115"/>
      <c r="M49" s="115"/>
      <c r="N49" s="115"/>
      <c r="O49" s="43"/>
      <c r="P49" s="60"/>
      <c r="Q49" s="60"/>
      <c r="R49" s="60"/>
      <c r="S49" s="60"/>
      <c r="T49" s="60"/>
      <c r="U49" s="60"/>
      <c r="V49" s="60"/>
      <c r="W49" s="60"/>
    </row>
    <row r="50" spans="1:23">
      <c r="A50" s="107" t="s">
        <v>1054</v>
      </c>
      <c r="B50" s="108"/>
      <c r="C50" s="109"/>
      <c r="D50" s="64">
        <f>SUM(D43:D49)</f>
        <v>14430</v>
      </c>
      <c r="E50" s="31"/>
      <c r="F50" s="115"/>
      <c r="G50" s="115"/>
      <c r="H50" s="115"/>
      <c r="I50" s="115"/>
      <c r="J50" s="115"/>
      <c r="K50" s="115"/>
      <c r="L50" s="115"/>
      <c r="M50" s="115"/>
      <c r="N50" s="115"/>
      <c r="O50" s="43"/>
      <c r="P50" s="60"/>
      <c r="Q50" s="60"/>
      <c r="R50" s="60"/>
      <c r="S50" s="60"/>
      <c r="T50" s="60"/>
      <c r="U50" s="60"/>
      <c r="V50" s="60"/>
      <c r="W50" s="60"/>
    </row>
    <row r="51" spans="1:23">
      <c r="A51" s="3" t="s">
        <v>1061</v>
      </c>
      <c r="B51" s="3">
        <v>19</v>
      </c>
      <c r="C51" s="3" t="s">
        <v>129</v>
      </c>
      <c r="D51" s="3">
        <v>2136</v>
      </c>
      <c r="E51" s="30"/>
      <c r="F51" s="115"/>
      <c r="G51" s="115"/>
      <c r="H51" s="115"/>
      <c r="I51" s="115"/>
      <c r="J51" s="115"/>
      <c r="K51" s="115"/>
      <c r="L51" s="115"/>
      <c r="M51" s="115"/>
      <c r="N51" s="115"/>
      <c r="O51" s="43"/>
      <c r="P51" s="60"/>
      <c r="Q51" s="60"/>
      <c r="R51" s="60"/>
      <c r="S51" s="60"/>
      <c r="T51" s="60"/>
      <c r="U51" s="60"/>
      <c r="V51" s="60"/>
      <c r="W51" s="60"/>
    </row>
    <row r="52" spans="1:23">
      <c r="A52" s="3" t="s">
        <v>1061</v>
      </c>
      <c r="B52" s="3">
        <v>20</v>
      </c>
      <c r="C52" s="3" t="s">
        <v>1058</v>
      </c>
      <c r="D52" s="3">
        <v>791</v>
      </c>
      <c r="E52" s="30"/>
      <c r="F52" s="115"/>
      <c r="G52" s="115"/>
      <c r="H52" s="115"/>
      <c r="I52" s="115"/>
      <c r="J52" s="115"/>
      <c r="K52" s="115"/>
      <c r="L52" s="115"/>
      <c r="M52" s="115"/>
      <c r="N52" s="115"/>
      <c r="O52" s="43"/>
      <c r="P52" s="60"/>
      <c r="Q52" s="60"/>
      <c r="R52" s="60"/>
      <c r="S52" s="60"/>
      <c r="T52" s="60"/>
      <c r="U52" s="60"/>
      <c r="V52" s="60"/>
      <c r="W52" s="60"/>
    </row>
    <row r="53" spans="1:23">
      <c r="A53" s="3" t="s">
        <v>1061</v>
      </c>
      <c r="B53" s="3">
        <v>30</v>
      </c>
      <c r="C53" s="3" t="s">
        <v>1058</v>
      </c>
      <c r="D53" s="3">
        <v>1416</v>
      </c>
      <c r="E53" s="30"/>
      <c r="F53" s="58"/>
      <c r="G53" s="58"/>
      <c r="H53" s="58"/>
      <c r="I53" s="58"/>
      <c r="J53" s="58"/>
      <c r="K53" s="58"/>
      <c r="L53" s="58"/>
      <c r="M53" s="58"/>
      <c r="N53" s="58"/>
      <c r="O53" s="43"/>
      <c r="P53" s="60"/>
      <c r="Q53" s="60"/>
      <c r="R53" s="60"/>
      <c r="S53" s="60"/>
      <c r="T53" s="60"/>
      <c r="U53" s="60"/>
      <c r="V53" s="60"/>
      <c r="W53" s="60"/>
    </row>
    <row r="54" spans="1:23">
      <c r="A54" s="3" t="s">
        <v>1061</v>
      </c>
      <c r="B54" s="3">
        <v>40</v>
      </c>
      <c r="C54" s="3" t="s">
        <v>129</v>
      </c>
      <c r="D54" s="3">
        <v>2261</v>
      </c>
      <c r="E54" s="30"/>
      <c r="F54" s="58"/>
      <c r="G54" s="58"/>
      <c r="H54" s="58"/>
      <c r="I54" s="58"/>
      <c r="J54" s="58"/>
      <c r="K54" s="58"/>
      <c r="L54" s="58"/>
      <c r="M54" s="58"/>
      <c r="N54" s="58"/>
      <c r="O54" s="43"/>
      <c r="P54" s="60"/>
      <c r="Q54" s="60"/>
      <c r="R54" s="60"/>
      <c r="S54" s="60"/>
      <c r="T54" s="60"/>
      <c r="U54" s="60"/>
      <c r="V54" s="60"/>
      <c r="W54" s="60"/>
    </row>
    <row r="55" spans="1:23">
      <c r="A55" s="3" t="s">
        <v>1061</v>
      </c>
      <c r="B55" s="3">
        <v>50</v>
      </c>
      <c r="C55" s="3" t="s">
        <v>129</v>
      </c>
      <c r="D55" s="3">
        <v>2177</v>
      </c>
      <c r="E55" s="31"/>
      <c r="F55" s="58"/>
      <c r="G55" s="58"/>
      <c r="H55" s="58"/>
      <c r="I55" s="58"/>
      <c r="J55" s="58"/>
      <c r="K55" s="58"/>
      <c r="L55" s="58"/>
      <c r="M55" s="58"/>
      <c r="N55" s="58"/>
      <c r="O55" s="43"/>
      <c r="P55" s="60"/>
      <c r="Q55" s="60"/>
      <c r="R55" s="60"/>
      <c r="S55" s="60"/>
      <c r="T55" s="60"/>
      <c r="U55" s="60"/>
      <c r="V55" s="60"/>
      <c r="W55" s="60"/>
    </row>
    <row r="56" spans="1:23">
      <c r="A56" s="3" t="s">
        <v>1061</v>
      </c>
      <c r="B56" s="3">
        <v>60</v>
      </c>
      <c r="C56" s="3" t="s">
        <v>129</v>
      </c>
      <c r="D56" s="3">
        <v>1402</v>
      </c>
      <c r="E56" s="30"/>
      <c r="F56" s="58"/>
      <c r="G56" s="58"/>
      <c r="H56" s="58"/>
      <c r="I56" s="58"/>
      <c r="J56" s="58"/>
      <c r="K56" s="58"/>
      <c r="L56" s="58"/>
      <c r="M56" s="58"/>
      <c r="N56" s="58"/>
      <c r="O56" s="30"/>
      <c r="P56" s="60"/>
      <c r="Q56" s="60"/>
      <c r="R56" s="60"/>
      <c r="S56" s="60"/>
      <c r="T56" s="60"/>
      <c r="U56" s="60"/>
      <c r="V56" s="60"/>
      <c r="W56" s="60"/>
    </row>
    <row r="57" spans="1:23">
      <c r="A57" s="3" t="s">
        <v>1061</v>
      </c>
      <c r="B57" s="3">
        <v>70</v>
      </c>
      <c r="C57" s="3" t="s">
        <v>129</v>
      </c>
      <c r="D57" s="3">
        <v>341</v>
      </c>
      <c r="E57" s="30"/>
      <c r="F57" s="58"/>
      <c r="G57" s="58"/>
      <c r="H57" s="58"/>
      <c r="I57" s="58"/>
      <c r="J57" s="58"/>
      <c r="K57" s="58"/>
      <c r="L57" s="58"/>
      <c r="M57" s="58"/>
      <c r="N57" s="58"/>
      <c r="O57" s="30"/>
      <c r="P57" s="60"/>
      <c r="Q57" s="60"/>
      <c r="R57" s="60"/>
      <c r="S57" s="60"/>
      <c r="T57" s="60"/>
      <c r="U57" s="60"/>
      <c r="V57" s="60"/>
      <c r="W57" s="60"/>
    </row>
    <row r="58" spans="1:23" ht="20.25" customHeight="1">
      <c r="A58" s="107" t="s">
        <v>1054</v>
      </c>
      <c r="B58" s="108"/>
      <c r="C58" s="109"/>
      <c r="D58" s="64">
        <f>SUM(D51:D57)</f>
        <v>10524</v>
      </c>
      <c r="E58" s="39"/>
      <c r="F58" s="58"/>
      <c r="G58" s="58"/>
      <c r="H58" s="58"/>
      <c r="I58" s="58"/>
      <c r="J58" s="58"/>
      <c r="K58" s="58"/>
      <c r="L58" s="58"/>
      <c r="M58" s="58"/>
      <c r="N58" s="58"/>
      <c r="O58" s="37"/>
      <c r="P58" s="60"/>
      <c r="Q58" s="60"/>
      <c r="R58" s="60"/>
      <c r="S58" s="60"/>
      <c r="T58" s="60"/>
      <c r="U58" s="60"/>
      <c r="V58" s="60"/>
      <c r="W58" s="60"/>
    </row>
    <row r="59" spans="1:23">
      <c r="A59" s="30"/>
      <c r="B59" s="58"/>
      <c r="C59" s="40"/>
      <c r="D59" s="33"/>
      <c r="E59" s="33"/>
      <c r="F59" s="58"/>
      <c r="G59" s="58"/>
      <c r="H59" s="58"/>
      <c r="I59" s="58"/>
      <c r="J59" s="58"/>
      <c r="K59" s="58"/>
      <c r="L59" s="58"/>
      <c r="M59" s="58"/>
      <c r="N59" s="58"/>
      <c r="O59" s="30"/>
      <c r="P59" s="60"/>
      <c r="Q59" s="60"/>
      <c r="R59" s="60"/>
      <c r="S59" s="60"/>
      <c r="T59" s="60"/>
      <c r="U59" s="60"/>
      <c r="V59" s="60"/>
      <c r="W59" s="60"/>
    </row>
    <row r="60" spans="1:23">
      <c r="A60" s="104" t="s">
        <v>13</v>
      </c>
      <c r="B60" s="104"/>
      <c r="C60" s="104"/>
      <c r="D60" s="104"/>
      <c r="E60" s="33"/>
      <c r="F60" s="58"/>
      <c r="G60" s="58"/>
      <c r="H60" s="58"/>
      <c r="I60" s="58"/>
      <c r="J60" s="58"/>
      <c r="K60" s="58"/>
      <c r="L60" s="58"/>
      <c r="M60" s="58"/>
      <c r="N60" s="58"/>
      <c r="O60" s="30"/>
      <c r="P60" s="60"/>
      <c r="Q60" s="60"/>
      <c r="R60" s="60"/>
      <c r="S60" s="60"/>
      <c r="T60" s="60"/>
      <c r="U60" s="60"/>
      <c r="V60" s="60"/>
      <c r="W60" s="60"/>
    </row>
    <row r="61" spans="1:23">
      <c r="A61" s="3" t="s">
        <v>25</v>
      </c>
      <c r="B61" s="3" t="s">
        <v>26</v>
      </c>
      <c r="C61" s="3" t="s">
        <v>27</v>
      </c>
      <c r="D61" s="3" t="s">
        <v>28</v>
      </c>
      <c r="E61" s="33"/>
      <c r="F61" s="58"/>
      <c r="G61" s="58"/>
      <c r="H61" s="58"/>
      <c r="I61" s="58"/>
      <c r="J61" s="58"/>
      <c r="K61" s="58"/>
      <c r="L61" s="58"/>
      <c r="M61" s="58"/>
      <c r="N61" s="58"/>
      <c r="O61" s="30"/>
      <c r="P61" s="60"/>
      <c r="Q61" s="60"/>
      <c r="R61" s="60"/>
      <c r="S61" s="60"/>
      <c r="T61" s="60"/>
      <c r="U61" s="60"/>
      <c r="V61" s="60"/>
      <c r="W61" s="60"/>
    </row>
    <row r="62" spans="1:23">
      <c r="A62" s="3" t="s">
        <v>29</v>
      </c>
      <c r="B62" s="7">
        <v>19</v>
      </c>
      <c r="C62" s="3" t="s">
        <v>128</v>
      </c>
      <c r="D62" s="7">
        <v>3229</v>
      </c>
      <c r="E62" s="33"/>
      <c r="F62" s="58"/>
      <c r="G62" s="58"/>
      <c r="H62" s="58"/>
      <c r="I62" s="58"/>
      <c r="J62" s="58"/>
      <c r="K62" s="58"/>
      <c r="L62" s="58"/>
      <c r="M62" s="58"/>
      <c r="N62" s="58"/>
      <c r="O62" s="30"/>
      <c r="P62" s="60"/>
      <c r="Q62" s="60"/>
      <c r="R62" s="60"/>
      <c r="S62" s="60"/>
      <c r="T62" s="60"/>
      <c r="U62" s="60"/>
      <c r="V62" s="60"/>
      <c r="W62" s="60"/>
    </row>
    <row r="63" spans="1:23">
      <c r="A63" s="3" t="s">
        <v>29</v>
      </c>
      <c r="B63" s="7">
        <v>20</v>
      </c>
      <c r="C63" s="3" t="s">
        <v>128</v>
      </c>
      <c r="D63" s="7">
        <v>2035</v>
      </c>
      <c r="E63" s="33"/>
      <c r="F63" s="58"/>
      <c r="G63" s="58"/>
      <c r="H63" s="58"/>
      <c r="I63" s="58"/>
      <c r="J63" s="58"/>
      <c r="K63" s="58"/>
      <c r="L63" s="58"/>
      <c r="M63" s="58"/>
      <c r="N63" s="58"/>
      <c r="O63" s="30"/>
      <c r="P63" s="60"/>
      <c r="Q63" s="60"/>
      <c r="R63" s="60"/>
      <c r="S63" s="60"/>
      <c r="T63" s="60"/>
      <c r="U63" s="60"/>
      <c r="V63" s="60"/>
      <c r="W63" s="60"/>
    </row>
    <row r="64" spans="1:23">
      <c r="A64" s="3" t="s">
        <v>29</v>
      </c>
      <c r="B64" s="7">
        <v>30</v>
      </c>
      <c r="C64" s="3" t="s">
        <v>128</v>
      </c>
      <c r="D64" s="7">
        <v>2941</v>
      </c>
      <c r="E64" s="33"/>
      <c r="F64" s="58"/>
      <c r="G64" s="58"/>
      <c r="H64" s="58"/>
      <c r="I64" s="58"/>
      <c r="J64" s="58"/>
      <c r="K64" s="58"/>
      <c r="L64" s="58"/>
      <c r="M64" s="58"/>
      <c r="N64" s="58"/>
      <c r="O64" s="30"/>
      <c r="P64" s="58"/>
      <c r="Q64" s="40"/>
      <c r="R64" s="33"/>
      <c r="S64" s="33"/>
      <c r="T64" s="33"/>
    </row>
    <row r="65" spans="1:20">
      <c r="A65" s="3" t="s">
        <v>29</v>
      </c>
      <c r="B65" s="7">
        <v>40</v>
      </c>
      <c r="C65" s="3" t="s">
        <v>128</v>
      </c>
      <c r="D65" s="7">
        <v>7342</v>
      </c>
      <c r="E65" s="34"/>
      <c r="F65" s="58"/>
      <c r="G65" s="58"/>
      <c r="H65" s="58"/>
      <c r="I65" s="58"/>
      <c r="J65" s="58"/>
      <c r="K65" s="58"/>
      <c r="L65" s="58"/>
      <c r="M65" s="58"/>
      <c r="N65" s="58"/>
      <c r="O65" s="30"/>
      <c r="P65" s="58"/>
      <c r="Q65" s="40"/>
      <c r="R65" s="34"/>
      <c r="S65" s="34"/>
      <c r="T65" s="34"/>
    </row>
    <row r="66" spans="1:20">
      <c r="A66" s="3" t="s">
        <v>29</v>
      </c>
      <c r="B66" s="7">
        <v>50</v>
      </c>
      <c r="C66" s="3" t="s">
        <v>128</v>
      </c>
      <c r="D66" s="7">
        <v>10153</v>
      </c>
      <c r="E66" s="33"/>
      <c r="F66" s="58"/>
      <c r="G66" s="58"/>
      <c r="H66" s="58"/>
      <c r="I66" s="58"/>
      <c r="J66" s="58"/>
      <c r="K66" s="58"/>
      <c r="L66" s="58"/>
      <c r="M66" s="58"/>
      <c r="N66" s="58"/>
      <c r="O66" s="30"/>
      <c r="P66" s="58"/>
      <c r="Q66" s="40"/>
      <c r="R66" s="33"/>
      <c r="S66" s="33"/>
      <c r="T66" s="33"/>
    </row>
    <row r="67" spans="1:20">
      <c r="A67" s="3" t="s">
        <v>29</v>
      </c>
      <c r="B67" s="7">
        <v>60</v>
      </c>
      <c r="C67" s="3" t="s">
        <v>128</v>
      </c>
      <c r="D67" s="7">
        <v>5364</v>
      </c>
      <c r="E67" s="33"/>
      <c r="F67" s="58"/>
      <c r="G67" s="58"/>
      <c r="H67" s="58"/>
      <c r="I67" s="58"/>
      <c r="J67" s="58"/>
      <c r="K67" s="58"/>
      <c r="L67" s="58"/>
      <c r="M67" s="58"/>
      <c r="N67" s="58"/>
      <c r="O67" s="30"/>
      <c r="P67" s="58"/>
      <c r="Q67" s="40"/>
      <c r="R67" s="33"/>
      <c r="S67" s="33"/>
      <c r="T67" s="33"/>
    </row>
    <row r="68" spans="1:20">
      <c r="A68" s="3" t="s">
        <v>29</v>
      </c>
      <c r="B68" s="7">
        <v>70</v>
      </c>
      <c r="C68" s="3" t="s">
        <v>128</v>
      </c>
      <c r="D68" s="7">
        <v>1195</v>
      </c>
      <c r="E68" s="35"/>
      <c r="F68" s="58"/>
      <c r="G68" s="58"/>
      <c r="H68" s="58"/>
      <c r="I68" s="58"/>
      <c r="J68" s="58"/>
      <c r="K68" s="58"/>
      <c r="L68" s="58"/>
      <c r="M68" s="58"/>
      <c r="N68" s="58"/>
      <c r="O68" s="30"/>
      <c r="P68" s="58"/>
      <c r="Q68" s="40"/>
      <c r="R68" s="35"/>
      <c r="S68" s="35"/>
      <c r="T68" s="35"/>
    </row>
    <row r="69" spans="1:20">
      <c r="A69" s="107" t="s">
        <v>1054</v>
      </c>
      <c r="B69" s="108"/>
      <c r="C69" s="109"/>
      <c r="D69" s="66">
        <f>SUM(D62:D68)</f>
        <v>32259</v>
      </c>
      <c r="E69" s="35"/>
      <c r="F69" s="58"/>
      <c r="G69" s="58"/>
      <c r="H69" s="58"/>
      <c r="I69" s="58"/>
      <c r="J69" s="58"/>
      <c r="K69" s="58"/>
      <c r="L69" s="58"/>
      <c r="M69" s="58"/>
      <c r="N69" s="58"/>
      <c r="O69" s="30"/>
      <c r="P69" s="58"/>
      <c r="Q69" s="40"/>
      <c r="R69" s="35"/>
      <c r="S69" s="35"/>
      <c r="T69" s="35"/>
    </row>
    <row r="70" spans="1:20">
      <c r="A70" s="3" t="s">
        <v>31</v>
      </c>
      <c r="B70" s="7">
        <v>19</v>
      </c>
      <c r="C70" s="3" t="s">
        <v>1059</v>
      </c>
      <c r="D70" s="7">
        <v>3262</v>
      </c>
      <c r="E70" s="36"/>
      <c r="F70" s="58"/>
      <c r="G70" s="58"/>
      <c r="H70" s="58"/>
      <c r="I70" s="58"/>
      <c r="J70" s="58"/>
      <c r="K70" s="58"/>
      <c r="L70" s="58"/>
      <c r="M70" s="58"/>
      <c r="N70" s="58"/>
      <c r="O70" s="30"/>
      <c r="P70" s="58"/>
      <c r="Q70" s="40"/>
      <c r="R70" s="36"/>
      <c r="S70" s="36"/>
      <c r="T70" s="36"/>
    </row>
    <row r="71" spans="1:20">
      <c r="A71" s="3" t="s">
        <v>31</v>
      </c>
      <c r="B71" s="7">
        <v>20</v>
      </c>
      <c r="C71" s="3" t="s">
        <v>1059</v>
      </c>
      <c r="D71" s="7">
        <v>989</v>
      </c>
      <c r="E71" s="36"/>
      <c r="F71" s="58"/>
      <c r="G71" s="58"/>
      <c r="H71" s="58"/>
      <c r="I71" s="58"/>
      <c r="J71" s="58"/>
      <c r="K71" s="58"/>
      <c r="L71" s="58"/>
      <c r="M71" s="58"/>
      <c r="N71" s="58"/>
      <c r="O71" s="30"/>
      <c r="P71" s="58"/>
      <c r="Q71" s="40"/>
      <c r="R71" s="36"/>
      <c r="S71" s="36"/>
      <c r="T71" s="36"/>
    </row>
    <row r="72" spans="1:20">
      <c r="A72" s="3" t="s">
        <v>31</v>
      </c>
      <c r="B72" s="7">
        <v>30</v>
      </c>
      <c r="C72" s="3" t="s">
        <v>1059</v>
      </c>
      <c r="D72" s="7">
        <v>1640</v>
      </c>
      <c r="E72" s="34"/>
      <c r="F72" s="58"/>
      <c r="G72" s="58"/>
      <c r="H72" s="58"/>
      <c r="I72" s="58"/>
      <c r="J72" s="58"/>
      <c r="K72" s="58"/>
      <c r="L72" s="58"/>
      <c r="M72" s="58"/>
      <c r="N72" s="58"/>
      <c r="O72" s="30"/>
      <c r="P72" s="58"/>
      <c r="Q72" s="40"/>
      <c r="R72" s="34"/>
      <c r="S72" s="34"/>
      <c r="T72" s="34"/>
    </row>
    <row r="73" spans="1:20">
      <c r="A73" s="3" t="s">
        <v>31</v>
      </c>
      <c r="B73" s="4">
        <v>40</v>
      </c>
      <c r="C73" s="3" t="s">
        <v>1059</v>
      </c>
      <c r="D73" s="4">
        <v>4036</v>
      </c>
      <c r="E73" s="30"/>
      <c r="F73" s="58"/>
      <c r="G73" s="58"/>
      <c r="H73" s="58"/>
      <c r="I73" s="58"/>
      <c r="J73" s="58"/>
      <c r="K73" s="58"/>
      <c r="L73" s="58"/>
      <c r="M73" s="58"/>
      <c r="N73" s="58"/>
      <c r="O73" s="30"/>
    </row>
    <row r="74" spans="1:20">
      <c r="A74" s="3" t="s">
        <v>31</v>
      </c>
      <c r="B74" s="4">
        <v>50</v>
      </c>
      <c r="C74" s="3" t="s">
        <v>1059</v>
      </c>
      <c r="D74" s="4">
        <v>5342</v>
      </c>
      <c r="E74" s="61"/>
      <c r="F74" s="30"/>
      <c r="G74" s="61"/>
      <c r="H74" s="61"/>
      <c r="I74" s="61"/>
      <c r="J74" s="61"/>
      <c r="K74" s="30"/>
      <c r="L74" s="61"/>
      <c r="M74" s="61"/>
      <c r="N74" s="61"/>
      <c r="O74" s="61"/>
    </row>
    <row r="75" spans="1:20">
      <c r="A75" s="3" t="s">
        <v>31</v>
      </c>
      <c r="B75" s="4">
        <v>60</v>
      </c>
      <c r="C75" s="3" t="s">
        <v>1059</v>
      </c>
      <c r="D75" s="4">
        <v>3872</v>
      </c>
      <c r="E75" s="43"/>
      <c r="F75" s="30"/>
      <c r="G75" s="43"/>
      <c r="H75" s="43"/>
      <c r="I75" s="43"/>
      <c r="J75" s="43"/>
      <c r="K75" s="30"/>
      <c r="L75" s="43"/>
      <c r="M75" s="43"/>
      <c r="N75" s="43"/>
      <c r="O75" s="43"/>
    </row>
    <row r="76" spans="1:20">
      <c r="A76" s="3" t="s">
        <v>31</v>
      </c>
      <c r="B76" s="4">
        <v>70</v>
      </c>
      <c r="C76" s="3" t="s">
        <v>1059</v>
      </c>
      <c r="D76" s="4">
        <v>965</v>
      </c>
      <c r="E76" s="31"/>
      <c r="F76" s="62"/>
      <c r="G76" s="43"/>
      <c r="H76" s="43"/>
      <c r="I76" s="43"/>
      <c r="J76" s="43"/>
      <c r="K76" s="62"/>
      <c r="L76" s="43"/>
      <c r="M76" s="43"/>
      <c r="N76" s="43"/>
      <c r="O76" s="43"/>
    </row>
    <row r="77" spans="1:20">
      <c r="A77" s="107" t="s">
        <v>1054</v>
      </c>
      <c r="B77" s="108"/>
      <c r="C77" s="109"/>
      <c r="D77" s="66">
        <f>SUM(D70:D76)</f>
        <v>20106</v>
      </c>
      <c r="E77" s="31"/>
      <c r="F77" s="62"/>
      <c r="G77" s="43"/>
      <c r="H77" s="43"/>
      <c r="I77" s="43"/>
      <c r="J77" s="43"/>
      <c r="K77" s="62"/>
      <c r="L77" s="43"/>
      <c r="M77" s="43"/>
      <c r="N77" s="43"/>
      <c r="O77" s="43"/>
    </row>
    <row r="78" spans="1:20">
      <c r="A78" s="30"/>
      <c r="B78" s="43"/>
      <c r="C78" s="31"/>
      <c r="D78" s="43"/>
      <c r="E78" s="31"/>
      <c r="F78" s="30"/>
      <c r="G78" s="43"/>
      <c r="H78" s="43"/>
      <c r="I78" s="43"/>
      <c r="J78" s="43"/>
      <c r="K78" s="30"/>
      <c r="L78" s="43"/>
      <c r="M78" s="43"/>
      <c r="N78" s="43"/>
      <c r="O78" s="43"/>
    </row>
    <row r="79" spans="1:20">
      <c r="A79" s="30"/>
      <c r="B79" s="43"/>
      <c r="C79" s="31"/>
      <c r="D79" s="43"/>
      <c r="E79" s="31"/>
      <c r="F79" s="30"/>
      <c r="G79" s="43"/>
      <c r="H79" s="43"/>
      <c r="I79" s="43"/>
      <c r="J79" s="43"/>
      <c r="K79" s="30"/>
      <c r="L79" s="43"/>
      <c r="M79" s="43"/>
      <c r="N79" s="43"/>
      <c r="O79" s="43"/>
    </row>
    <row r="80" spans="1:20">
      <c r="A80" s="30"/>
      <c r="B80" s="43"/>
      <c r="C80" s="31"/>
      <c r="D80" s="43"/>
      <c r="E80" s="31"/>
      <c r="F80" s="30"/>
      <c r="G80" s="43"/>
      <c r="H80" s="43"/>
      <c r="I80" s="43"/>
      <c r="J80" s="43"/>
      <c r="K80" s="30"/>
      <c r="L80" s="43"/>
      <c r="M80" s="43"/>
      <c r="N80" s="43"/>
      <c r="O80" s="43"/>
    </row>
    <row r="81" spans="1:15">
      <c r="A81" s="30"/>
      <c r="B81" s="43"/>
      <c r="C81" s="31"/>
      <c r="D81" s="43"/>
      <c r="E81" s="31"/>
      <c r="F81" s="30"/>
      <c r="G81" s="43"/>
      <c r="H81" s="43"/>
      <c r="I81" s="43"/>
      <c r="J81" s="43"/>
      <c r="K81" s="30"/>
      <c r="L81" s="43"/>
      <c r="M81" s="43"/>
      <c r="N81" s="43"/>
      <c r="O81" s="43"/>
    </row>
    <row r="82" spans="1:15">
      <c r="A82" s="30"/>
      <c r="B82" s="43"/>
      <c r="C82" s="31"/>
      <c r="D82" s="43"/>
      <c r="E82" s="31"/>
      <c r="F82" s="30"/>
      <c r="G82" s="43"/>
      <c r="H82" s="43"/>
      <c r="I82" s="43"/>
      <c r="J82" s="43"/>
      <c r="K82" s="30"/>
      <c r="L82" s="43"/>
      <c r="M82" s="43"/>
      <c r="N82" s="43"/>
      <c r="O82" s="43"/>
    </row>
    <row r="83" spans="1:15">
      <c r="A83" s="30"/>
      <c r="B83" s="43"/>
      <c r="C83" s="43"/>
      <c r="D83" s="43"/>
      <c r="E83" s="31"/>
      <c r="F83" s="30"/>
      <c r="G83" s="43"/>
      <c r="H83" s="43"/>
      <c r="I83" s="43"/>
      <c r="J83" s="43"/>
      <c r="K83" s="30"/>
      <c r="L83" s="43"/>
      <c r="M83" s="43"/>
      <c r="N83" s="43"/>
      <c r="O83" s="43"/>
    </row>
    <row r="84" spans="1:15">
      <c r="A84" s="30"/>
      <c r="B84" s="43"/>
      <c r="C84" s="31"/>
      <c r="D84" s="43"/>
      <c r="E84" s="31"/>
      <c r="F84" s="62"/>
      <c r="G84" s="43"/>
      <c r="H84" s="43"/>
      <c r="I84" s="43"/>
      <c r="J84" s="43"/>
      <c r="K84" s="62"/>
      <c r="L84" s="43"/>
      <c r="M84" s="43"/>
      <c r="N84" s="43"/>
      <c r="O84" s="43"/>
    </row>
    <row r="85" spans="1:15">
      <c r="A85" s="30"/>
      <c r="B85" s="43"/>
      <c r="C85" s="31"/>
      <c r="D85" s="43"/>
      <c r="E85" s="31"/>
      <c r="F85" s="62"/>
      <c r="G85" s="43"/>
      <c r="H85" s="43"/>
      <c r="I85" s="43"/>
      <c r="J85" s="43"/>
      <c r="K85" s="62"/>
      <c r="L85" s="43"/>
      <c r="M85" s="43"/>
      <c r="N85" s="43"/>
      <c r="O85" s="43"/>
    </row>
    <row r="86" spans="1:15">
      <c r="A86" s="30"/>
      <c r="B86" s="43"/>
      <c r="C86" s="31"/>
      <c r="D86" s="43"/>
      <c r="E86" s="31"/>
      <c r="F86" s="30"/>
      <c r="G86" s="43"/>
      <c r="H86" s="43"/>
      <c r="I86" s="43"/>
      <c r="J86" s="43"/>
      <c r="K86" s="30"/>
      <c r="L86" s="43"/>
      <c r="M86" s="43"/>
      <c r="N86" s="43"/>
      <c r="O86" s="43"/>
    </row>
    <row r="87" spans="1:15">
      <c r="A87" s="30"/>
      <c r="B87" s="43"/>
      <c r="C87" s="30"/>
      <c r="D87" s="43"/>
      <c r="E87" s="30"/>
      <c r="F87" s="30"/>
      <c r="G87" s="43"/>
      <c r="H87" s="43"/>
      <c r="I87" s="43"/>
      <c r="J87" s="43"/>
      <c r="K87" s="30"/>
      <c r="L87" s="43"/>
      <c r="M87" s="43"/>
      <c r="N87" s="43"/>
      <c r="O87" s="43"/>
    </row>
    <row r="88" spans="1:15">
      <c r="A88" s="30"/>
      <c r="B88" s="43"/>
      <c r="C88" s="30"/>
      <c r="D88" s="43"/>
      <c r="E88" s="30"/>
      <c r="F88" s="30"/>
      <c r="G88" s="43"/>
      <c r="H88" s="43"/>
      <c r="I88" s="43"/>
      <c r="J88" s="43"/>
      <c r="K88" s="30"/>
      <c r="L88" s="43"/>
      <c r="M88" s="43"/>
      <c r="N88" s="43"/>
      <c r="O88" s="43"/>
    </row>
    <row r="89" spans="1:15">
      <c r="A89" s="30"/>
      <c r="B89" s="43"/>
      <c r="C89" s="30"/>
      <c r="D89" s="43"/>
      <c r="E89" s="30"/>
      <c r="F89" s="30"/>
      <c r="G89" s="43"/>
      <c r="H89" s="43"/>
      <c r="I89" s="43"/>
      <c r="J89" s="43"/>
      <c r="K89" s="30"/>
      <c r="L89" s="43"/>
      <c r="M89" s="43"/>
      <c r="N89" s="43"/>
      <c r="O89" s="43"/>
    </row>
    <row r="90" spans="1:15">
      <c r="A90" s="30"/>
      <c r="B90" s="43"/>
      <c r="C90" s="30"/>
      <c r="D90" s="43"/>
      <c r="E90" s="30"/>
      <c r="F90" s="30"/>
      <c r="G90" s="43"/>
      <c r="H90" s="43"/>
      <c r="I90" s="43"/>
      <c r="J90" s="43"/>
      <c r="K90" s="30"/>
      <c r="L90" s="43"/>
      <c r="M90" s="43"/>
      <c r="N90" s="43"/>
      <c r="O90" s="43"/>
    </row>
    <row r="91" spans="1:15">
      <c r="A91" s="30"/>
      <c r="B91" s="43"/>
      <c r="C91" s="43"/>
      <c r="D91" s="43"/>
      <c r="E91" s="31"/>
      <c r="F91" s="39"/>
      <c r="G91" s="43"/>
      <c r="H91" s="43"/>
      <c r="I91" s="43"/>
      <c r="J91" s="43"/>
      <c r="K91" s="30"/>
      <c r="L91" s="43"/>
      <c r="M91" s="43"/>
      <c r="N91" s="43"/>
      <c r="O91" s="43"/>
    </row>
    <row r="92" spans="1:1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</row>
    <row r="93" spans="1:15" ht="20.25">
      <c r="A93" s="32"/>
      <c r="B93" s="57"/>
      <c r="C93" s="57"/>
      <c r="D93" s="39"/>
      <c r="E93" s="39"/>
      <c r="F93" s="39"/>
      <c r="G93" s="30"/>
      <c r="H93" s="30"/>
      <c r="I93" s="30"/>
      <c r="J93" s="30"/>
      <c r="K93" s="30"/>
      <c r="L93" s="30"/>
      <c r="M93" s="30"/>
      <c r="N93" s="30"/>
      <c r="O93" s="30"/>
    </row>
    <row r="94" spans="1:15">
      <c r="A94" s="30"/>
      <c r="B94" s="58"/>
      <c r="C94" s="40"/>
      <c r="D94" s="33"/>
      <c r="E94" s="33"/>
      <c r="F94" s="33"/>
      <c r="G94" s="30"/>
      <c r="H94" s="30"/>
      <c r="I94" s="30"/>
      <c r="J94" s="30"/>
      <c r="K94" s="30"/>
      <c r="L94" s="30"/>
      <c r="M94" s="30"/>
      <c r="N94" s="30"/>
      <c r="O94" s="30"/>
    </row>
    <row r="95" spans="1:15">
      <c r="A95" s="30"/>
      <c r="B95" s="58"/>
      <c r="C95" s="40"/>
      <c r="D95" s="33"/>
      <c r="E95" s="33"/>
      <c r="F95" s="33"/>
      <c r="G95" s="30"/>
      <c r="H95" s="30"/>
      <c r="I95" s="30"/>
      <c r="J95" s="30"/>
      <c r="K95" s="30"/>
      <c r="L95" s="30"/>
      <c r="M95" s="30"/>
      <c r="N95" s="30"/>
      <c r="O95" s="30"/>
    </row>
    <row r="96" spans="1:15">
      <c r="A96" s="30"/>
      <c r="B96" s="58"/>
      <c r="C96" s="40"/>
      <c r="D96" s="33"/>
      <c r="E96" s="33"/>
      <c r="F96" s="33"/>
      <c r="G96" s="30"/>
      <c r="H96" s="30"/>
      <c r="I96" s="30"/>
      <c r="J96" s="30"/>
      <c r="K96" s="30"/>
      <c r="L96" s="30"/>
      <c r="M96" s="30"/>
      <c r="N96" s="30"/>
      <c r="O96" s="30"/>
    </row>
    <row r="97" spans="1:15">
      <c r="A97" s="30"/>
      <c r="B97" s="58"/>
      <c r="C97" s="40"/>
      <c r="D97" s="33"/>
      <c r="E97" s="33"/>
      <c r="F97" s="33"/>
      <c r="G97" s="30"/>
      <c r="H97" s="30"/>
      <c r="I97" s="30"/>
      <c r="J97" s="30"/>
      <c r="K97" s="30"/>
      <c r="L97" s="30"/>
      <c r="M97" s="30"/>
      <c r="N97" s="30"/>
      <c r="O97" s="30"/>
    </row>
    <row r="98" spans="1:15">
      <c r="A98" s="30"/>
      <c r="B98" s="58"/>
      <c r="C98" s="40"/>
      <c r="D98" s="33"/>
      <c r="E98" s="33"/>
      <c r="F98" s="33"/>
      <c r="G98" s="30"/>
      <c r="H98" s="30"/>
      <c r="I98" s="30"/>
      <c r="J98" s="30"/>
      <c r="K98" s="30"/>
      <c r="L98" s="30"/>
      <c r="M98" s="30"/>
      <c r="N98" s="30"/>
      <c r="O98" s="30"/>
    </row>
    <row r="99" spans="1:15">
      <c r="A99" s="30"/>
      <c r="B99" s="58"/>
      <c r="C99" s="40"/>
      <c r="D99" s="33"/>
      <c r="E99" s="33"/>
      <c r="F99" s="33"/>
      <c r="G99" s="30"/>
      <c r="H99" s="30"/>
      <c r="I99" s="30"/>
      <c r="J99" s="30"/>
      <c r="K99" s="30"/>
      <c r="L99" s="30"/>
      <c r="M99" s="30"/>
      <c r="N99" s="30"/>
      <c r="O99" s="30"/>
    </row>
    <row r="100" spans="1:15">
      <c r="A100" s="30"/>
      <c r="B100" s="58"/>
      <c r="C100" s="40"/>
      <c r="D100" s="34"/>
      <c r="E100" s="34"/>
      <c r="F100" s="34"/>
      <c r="G100" s="30"/>
      <c r="H100" s="30"/>
      <c r="I100" s="30"/>
      <c r="J100" s="30"/>
      <c r="K100" s="30"/>
      <c r="L100" s="30"/>
      <c r="M100" s="30"/>
      <c r="N100" s="30"/>
      <c r="O100" s="30"/>
    </row>
    <row r="101" spans="1:15">
      <c r="A101" s="30"/>
      <c r="B101" s="58"/>
      <c r="C101" s="40"/>
      <c r="D101" s="33"/>
      <c r="E101" s="33"/>
      <c r="F101" s="33"/>
      <c r="G101" s="30"/>
      <c r="H101" s="30"/>
      <c r="I101" s="30"/>
      <c r="J101" s="30"/>
      <c r="K101" s="30"/>
      <c r="L101" s="30"/>
      <c r="M101" s="30"/>
      <c r="N101" s="30"/>
      <c r="O101" s="30"/>
    </row>
    <row r="102" spans="1:15">
      <c r="A102" s="30"/>
      <c r="B102" s="58"/>
      <c r="C102" s="40"/>
      <c r="D102" s="33"/>
      <c r="E102" s="33"/>
      <c r="F102" s="33"/>
      <c r="G102" s="30"/>
      <c r="H102" s="30"/>
      <c r="I102" s="30"/>
      <c r="J102" s="30"/>
      <c r="K102" s="30"/>
      <c r="L102" s="30"/>
      <c r="M102" s="30"/>
      <c r="N102" s="30"/>
      <c r="O102" s="30"/>
    </row>
    <row r="103" spans="1:15">
      <c r="A103" s="30"/>
      <c r="B103" s="58"/>
      <c r="C103" s="40"/>
      <c r="D103" s="35"/>
      <c r="E103" s="35"/>
      <c r="F103" s="35"/>
      <c r="G103" s="30"/>
      <c r="H103" s="30"/>
      <c r="I103" s="30"/>
      <c r="J103" s="30"/>
      <c r="K103" s="30"/>
      <c r="L103" s="30"/>
      <c r="M103" s="30"/>
      <c r="N103" s="30"/>
      <c r="O103" s="30"/>
    </row>
    <row r="104" spans="1:15">
      <c r="A104" s="30"/>
      <c r="B104" s="58"/>
      <c r="C104" s="40"/>
      <c r="D104" s="35"/>
      <c r="E104" s="35"/>
      <c r="F104" s="35"/>
      <c r="G104" s="30"/>
      <c r="H104" s="30"/>
      <c r="I104" s="30"/>
      <c r="J104" s="30"/>
      <c r="K104" s="30"/>
      <c r="L104" s="30"/>
      <c r="M104" s="30"/>
      <c r="N104" s="30"/>
      <c r="O104" s="30"/>
    </row>
    <row r="105" spans="1:15">
      <c r="A105" s="30"/>
      <c r="B105" s="58"/>
      <c r="C105" s="40"/>
      <c r="D105" s="36"/>
      <c r="E105" s="36"/>
      <c r="F105" s="36"/>
      <c r="G105" s="30"/>
      <c r="H105" s="30"/>
      <c r="I105" s="30"/>
      <c r="J105" s="30"/>
      <c r="K105" s="30"/>
      <c r="L105" s="30"/>
      <c r="M105" s="30"/>
      <c r="N105" s="30"/>
      <c r="O105" s="30"/>
    </row>
    <row r="106" spans="1:15">
      <c r="A106" s="30"/>
      <c r="B106" s="58"/>
      <c r="C106" s="40"/>
      <c r="D106" s="36"/>
      <c r="E106" s="36"/>
      <c r="F106" s="36"/>
      <c r="G106" s="30"/>
      <c r="H106" s="30"/>
      <c r="I106" s="30"/>
      <c r="J106" s="30"/>
      <c r="K106" s="30"/>
      <c r="L106" s="30"/>
      <c r="M106" s="30"/>
      <c r="N106" s="30"/>
      <c r="O106" s="30"/>
    </row>
    <row r="107" spans="1:15">
      <c r="A107" s="30"/>
      <c r="B107" s="58"/>
      <c r="C107" s="40"/>
      <c r="D107" s="34"/>
      <c r="E107" s="34"/>
      <c r="F107" s="34"/>
      <c r="G107" s="30"/>
      <c r="H107" s="30"/>
      <c r="I107" s="30"/>
      <c r="J107" s="30"/>
      <c r="K107" s="30"/>
      <c r="L107" s="30"/>
      <c r="M107" s="30"/>
      <c r="N107" s="30"/>
      <c r="O107" s="30"/>
    </row>
    <row r="108" spans="1:1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</row>
    <row r="109" spans="1:15">
      <c r="A109" s="30"/>
      <c r="B109" s="61"/>
      <c r="C109" s="61"/>
      <c r="D109" s="61"/>
      <c r="E109" s="61"/>
      <c r="F109" s="30"/>
      <c r="G109" s="61"/>
      <c r="H109" s="61"/>
      <c r="I109" s="61"/>
      <c r="J109" s="61"/>
      <c r="K109" s="30"/>
      <c r="L109" s="61"/>
      <c r="M109" s="61"/>
      <c r="N109" s="61"/>
      <c r="O109" s="61"/>
    </row>
    <row r="110" spans="1:15">
      <c r="A110" s="30"/>
      <c r="B110" s="43"/>
      <c r="C110" s="43"/>
      <c r="D110" s="43"/>
      <c r="E110" s="43"/>
      <c r="F110" s="30"/>
      <c r="G110" s="43"/>
      <c r="H110" s="43"/>
      <c r="I110" s="43"/>
      <c r="J110" s="43"/>
      <c r="K110" s="30"/>
      <c r="L110" s="43"/>
      <c r="M110" s="43"/>
      <c r="N110" s="43"/>
      <c r="O110" s="43"/>
    </row>
    <row r="111" spans="1:15">
      <c r="A111" s="30"/>
      <c r="B111" s="43"/>
      <c r="C111" s="31"/>
      <c r="D111" s="43"/>
      <c r="E111" s="31"/>
      <c r="F111" s="62"/>
      <c r="G111" s="43"/>
      <c r="H111" s="43"/>
      <c r="I111" s="43"/>
      <c r="J111" s="43"/>
      <c r="K111" s="62"/>
      <c r="L111" s="43"/>
      <c r="M111" s="43"/>
      <c r="N111" s="43"/>
      <c r="O111" s="43"/>
    </row>
    <row r="112" spans="1:15">
      <c r="A112" s="30"/>
      <c r="B112" s="43"/>
      <c r="C112" s="31"/>
      <c r="D112" s="43"/>
      <c r="E112" s="31"/>
      <c r="F112" s="62"/>
      <c r="G112" s="43"/>
      <c r="H112" s="43"/>
      <c r="I112" s="43"/>
      <c r="J112" s="43"/>
      <c r="K112" s="62"/>
      <c r="L112" s="43"/>
      <c r="M112" s="43"/>
      <c r="N112" s="43"/>
      <c r="O112" s="43"/>
    </row>
    <row r="113" spans="1:15">
      <c r="A113" s="30"/>
      <c r="B113" s="43"/>
      <c r="C113" s="31"/>
      <c r="D113" s="43"/>
      <c r="E113" s="31"/>
      <c r="F113" s="30"/>
      <c r="G113" s="43"/>
      <c r="H113" s="43"/>
      <c r="I113" s="43"/>
      <c r="J113" s="43"/>
      <c r="K113" s="30"/>
      <c r="L113" s="43"/>
      <c r="M113" s="43"/>
      <c r="N113" s="43"/>
      <c r="O113" s="43"/>
    </row>
    <row r="114" spans="1:15">
      <c r="A114" s="30"/>
      <c r="B114" s="43"/>
      <c r="C114" s="31"/>
      <c r="D114" s="43"/>
      <c r="E114" s="31"/>
      <c r="F114" s="30"/>
      <c r="G114" s="43"/>
      <c r="H114" s="43"/>
      <c r="I114" s="43"/>
      <c r="J114" s="43"/>
      <c r="K114" s="30"/>
      <c r="L114" s="43"/>
      <c r="M114" s="43"/>
      <c r="N114" s="43"/>
      <c r="O114" s="43"/>
    </row>
    <row r="115" spans="1:15">
      <c r="A115" s="30"/>
      <c r="B115" s="43"/>
      <c r="C115" s="31"/>
      <c r="D115" s="43"/>
      <c r="E115" s="31"/>
      <c r="F115" s="30"/>
      <c r="G115" s="43"/>
      <c r="H115" s="43"/>
      <c r="I115" s="43"/>
      <c r="J115" s="43"/>
      <c r="K115" s="30"/>
      <c r="L115" s="43"/>
      <c r="M115" s="43"/>
      <c r="N115" s="43"/>
      <c r="O115" s="43"/>
    </row>
    <row r="116" spans="1:15">
      <c r="A116" s="30"/>
      <c r="B116" s="43"/>
      <c r="C116" s="31"/>
      <c r="D116" s="43"/>
      <c r="E116" s="31"/>
      <c r="F116" s="30"/>
      <c r="G116" s="43"/>
      <c r="H116" s="43"/>
      <c r="I116" s="43"/>
      <c r="J116" s="43"/>
      <c r="K116" s="30"/>
      <c r="L116" s="43"/>
      <c r="M116" s="43"/>
      <c r="N116" s="43"/>
      <c r="O116" s="43"/>
    </row>
    <row r="117" spans="1:15">
      <c r="A117" s="30"/>
      <c r="B117" s="43"/>
      <c r="C117" s="31"/>
      <c r="D117" s="43"/>
      <c r="E117" s="31"/>
      <c r="F117" s="30"/>
      <c r="G117" s="43"/>
      <c r="H117" s="43"/>
      <c r="I117" s="43"/>
      <c r="J117" s="43"/>
      <c r="K117" s="30"/>
      <c r="L117" s="43"/>
      <c r="M117" s="43"/>
      <c r="N117" s="43"/>
      <c r="O117" s="43"/>
    </row>
    <row r="118" spans="1:15">
      <c r="A118" s="30"/>
      <c r="B118" s="43"/>
      <c r="C118" s="43"/>
      <c r="D118" s="43"/>
      <c r="E118" s="31"/>
      <c r="F118" s="30"/>
      <c r="G118" s="43"/>
      <c r="H118" s="43"/>
      <c r="I118" s="43"/>
      <c r="J118" s="43"/>
      <c r="K118" s="30"/>
      <c r="L118" s="43"/>
      <c r="M118" s="43"/>
      <c r="N118" s="43"/>
      <c r="O118" s="43"/>
    </row>
    <row r="119" spans="1:15">
      <c r="A119" s="30"/>
      <c r="B119" s="43"/>
      <c r="C119" s="31"/>
      <c r="D119" s="43"/>
      <c r="E119" s="31"/>
      <c r="F119" s="62"/>
      <c r="G119" s="43"/>
      <c r="H119" s="43"/>
      <c r="I119" s="43"/>
      <c r="J119" s="43"/>
      <c r="K119" s="62"/>
      <c r="L119" s="43"/>
      <c r="M119" s="43"/>
      <c r="N119" s="43"/>
      <c r="O119" s="43"/>
    </row>
    <row r="120" spans="1:15">
      <c r="A120" s="30"/>
      <c r="B120" s="43"/>
      <c r="C120" s="31"/>
      <c r="D120" s="43"/>
      <c r="E120" s="31"/>
      <c r="F120" s="62"/>
      <c r="G120" s="43"/>
      <c r="H120" s="43"/>
      <c r="I120" s="43"/>
      <c r="J120" s="43"/>
      <c r="K120" s="62"/>
      <c r="L120" s="43"/>
      <c r="M120" s="43"/>
      <c r="N120" s="43"/>
      <c r="O120" s="43"/>
    </row>
    <row r="121" spans="1:15">
      <c r="A121" s="30"/>
      <c r="B121" s="43"/>
      <c r="C121" s="31"/>
      <c r="D121" s="43"/>
      <c r="E121" s="31"/>
      <c r="F121" s="30"/>
      <c r="G121" s="43"/>
      <c r="H121" s="43"/>
      <c r="I121" s="43"/>
      <c r="J121" s="43"/>
      <c r="K121" s="30"/>
      <c r="L121" s="43"/>
      <c r="M121" s="43"/>
      <c r="N121" s="43"/>
      <c r="O121" s="43"/>
    </row>
    <row r="122" spans="1:15">
      <c r="A122" s="30"/>
      <c r="B122" s="43"/>
      <c r="C122" s="30"/>
      <c r="D122" s="43"/>
      <c r="E122" s="30"/>
      <c r="F122" s="30"/>
      <c r="G122" s="43"/>
      <c r="H122" s="43"/>
      <c r="I122" s="43"/>
      <c r="J122" s="43"/>
      <c r="K122" s="30"/>
      <c r="L122" s="43"/>
      <c r="M122" s="43"/>
      <c r="N122" s="43"/>
      <c r="O122" s="43"/>
    </row>
    <row r="123" spans="1:15">
      <c r="A123" s="30"/>
      <c r="B123" s="43"/>
      <c r="C123" s="30"/>
      <c r="D123" s="43"/>
      <c r="E123" s="30"/>
      <c r="F123" s="30"/>
      <c r="G123" s="43"/>
      <c r="H123" s="43"/>
      <c r="I123" s="43"/>
      <c r="J123" s="43"/>
      <c r="K123" s="30"/>
      <c r="L123" s="43"/>
      <c r="M123" s="43"/>
      <c r="N123" s="43"/>
      <c r="O123" s="43"/>
    </row>
    <row r="124" spans="1:15">
      <c r="A124" s="30"/>
      <c r="B124" s="43"/>
      <c r="C124" s="30"/>
      <c r="D124" s="43"/>
      <c r="E124" s="30"/>
      <c r="F124" s="30"/>
      <c r="G124" s="43"/>
      <c r="H124" s="43"/>
      <c r="I124" s="43"/>
      <c r="J124" s="43"/>
      <c r="K124" s="30"/>
      <c r="L124" s="43"/>
      <c r="M124" s="43"/>
      <c r="N124" s="43"/>
      <c r="O124" s="43"/>
    </row>
    <row r="125" spans="1:15">
      <c r="A125" s="30"/>
      <c r="B125" s="43"/>
      <c r="C125" s="30"/>
      <c r="D125" s="43"/>
      <c r="E125" s="30"/>
      <c r="F125" s="30"/>
      <c r="G125" s="43"/>
      <c r="H125" s="43"/>
      <c r="I125" s="43"/>
      <c r="J125" s="43"/>
      <c r="K125" s="30"/>
      <c r="L125" s="43"/>
      <c r="M125" s="43"/>
      <c r="N125" s="43"/>
      <c r="O125" s="43"/>
    </row>
    <row r="126" spans="1:15">
      <c r="A126" s="30"/>
      <c r="B126" s="43"/>
      <c r="C126" s="43"/>
      <c r="D126" s="43"/>
      <c r="E126" s="31"/>
      <c r="F126" s="39"/>
      <c r="G126" s="43"/>
      <c r="H126" s="43"/>
      <c r="I126" s="43"/>
      <c r="J126" s="43"/>
      <c r="K126" s="30"/>
      <c r="L126" s="43"/>
      <c r="M126" s="43"/>
      <c r="N126" s="43"/>
      <c r="O126" s="43"/>
    </row>
    <row r="127" spans="1:1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</row>
    <row r="128" spans="1:15" ht="20.25">
      <c r="A128" s="32"/>
      <c r="B128" s="57"/>
      <c r="C128" s="57"/>
      <c r="D128" s="39"/>
      <c r="E128" s="39"/>
      <c r="F128" s="39"/>
      <c r="G128" s="30"/>
      <c r="H128" s="30"/>
      <c r="I128" s="30"/>
      <c r="J128" s="30"/>
      <c r="K128" s="30"/>
      <c r="L128" s="30"/>
      <c r="M128" s="30"/>
      <c r="N128" s="30"/>
      <c r="O128" s="30"/>
    </row>
    <row r="129" spans="1:15">
      <c r="A129" s="30"/>
      <c r="B129" s="58"/>
      <c r="C129" s="40"/>
      <c r="D129" s="33"/>
      <c r="E129" s="33"/>
      <c r="F129" s="33"/>
      <c r="G129" s="30"/>
      <c r="H129" s="30"/>
      <c r="I129" s="30"/>
      <c r="J129" s="30"/>
      <c r="K129" s="30"/>
      <c r="L129" s="30"/>
      <c r="M129" s="30"/>
      <c r="N129" s="30"/>
      <c r="O129" s="30"/>
    </row>
    <row r="130" spans="1:15">
      <c r="A130" s="30"/>
      <c r="B130" s="58"/>
      <c r="C130" s="40"/>
      <c r="D130" s="33"/>
      <c r="E130" s="33"/>
      <c r="F130" s="33"/>
      <c r="G130" s="30"/>
      <c r="H130" s="30"/>
      <c r="I130" s="30"/>
      <c r="J130" s="30"/>
      <c r="K130" s="30"/>
      <c r="L130" s="30"/>
      <c r="M130" s="30"/>
      <c r="N130" s="30"/>
      <c r="O130" s="30"/>
    </row>
    <row r="131" spans="1:15">
      <c r="A131" s="30"/>
      <c r="B131" s="58"/>
      <c r="C131" s="40"/>
      <c r="D131" s="33"/>
      <c r="E131" s="33"/>
      <c r="F131" s="33"/>
      <c r="G131" s="30"/>
      <c r="H131" s="30"/>
      <c r="I131" s="30"/>
      <c r="J131" s="30"/>
      <c r="K131" s="30"/>
      <c r="L131" s="30"/>
      <c r="M131" s="30"/>
      <c r="N131" s="30"/>
      <c r="O131" s="30"/>
    </row>
    <row r="132" spans="1:15">
      <c r="A132" s="30"/>
      <c r="B132" s="58"/>
      <c r="C132" s="40"/>
      <c r="D132" s="33"/>
      <c r="E132" s="33"/>
      <c r="F132" s="33"/>
      <c r="G132" s="30"/>
      <c r="H132" s="30"/>
      <c r="I132" s="30"/>
      <c r="J132" s="30"/>
      <c r="K132" s="30"/>
      <c r="L132" s="30"/>
      <c r="M132" s="30"/>
      <c r="N132" s="30"/>
      <c r="O132" s="30"/>
    </row>
    <row r="133" spans="1:15">
      <c r="A133" s="30"/>
      <c r="B133" s="58"/>
      <c r="C133" s="40"/>
      <c r="D133" s="33"/>
      <c r="E133" s="33"/>
      <c r="F133" s="33"/>
      <c r="G133" s="30"/>
      <c r="H133" s="30"/>
      <c r="I133" s="30"/>
      <c r="J133" s="30"/>
      <c r="K133" s="30"/>
      <c r="L133" s="30"/>
      <c r="M133" s="30"/>
      <c r="N133" s="30"/>
      <c r="O133" s="30"/>
    </row>
    <row r="134" spans="1:15">
      <c r="A134" s="30"/>
      <c r="B134" s="58"/>
      <c r="C134" s="40"/>
      <c r="D134" s="33"/>
      <c r="E134" s="33"/>
      <c r="F134" s="33"/>
      <c r="G134" s="30"/>
      <c r="H134" s="30"/>
      <c r="I134" s="30"/>
      <c r="J134" s="30"/>
      <c r="K134" s="30"/>
      <c r="L134" s="30"/>
      <c r="M134" s="30"/>
      <c r="N134" s="30"/>
      <c r="O134" s="30"/>
    </row>
    <row r="135" spans="1:15">
      <c r="A135" s="30"/>
      <c r="B135" s="58"/>
      <c r="C135" s="40"/>
      <c r="D135" s="34"/>
      <c r="E135" s="34"/>
      <c r="F135" s="34"/>
      <c r="G135" s="30"/>
      <c r="H135" s="30"/>
      <c r="I135" s="30"/>
      <c r="J135" s="30"/>
      <c r="K135" s="30"/>
      <c r="L135" s="30"/>
      <c r="M135" s="30"/>
      <c r="N135" s="30"/>
      <c r="O135" s="30"/>
    </row>
    <row r="136" spans="1:15">
      <c r="A136" s="30"/>
      <c r="B136" s="58"/>
      <c r="C136" s="40"/>
      <c r="D136" s="33"/>
      <c r="E136" s="33"/>
      <c r="F136" s="33"/>
      <c r="G136" s="30"/>
      <c r="H136" s="30"/>
      <c r="I136" s="30"/>
      <c r="J136" s="30"/>
      <c r="K136" s="30"/>
      <c r="L136" s="30"/>
      <c r="M136" s="30"/>
      <c r="N136" s="30"/>
      <c r="O136" s="30"/>
    </row>
    <row r="137" spans="1:15">
      <c r="A137" s="30"/>
      <c r="B137" s="58"/>
      <c r="C137" s="40"/>
      <c r="D137" s="33"/>
      <c r="E137" s="33"/>
      <c r="F137" s="33"/>
      <c r="G137" s="30"/>
      <c r="H137" s="30"/>
      <c r="I137" s="30"/>
      <c r="J137" s="30"/>
      <c r="K137" s="30"/>
      <c r="L137" s="30"/>
      <c r="M137" s="30"/>
      <c r="N137" s="30"/>
      <c r="O137" s="30"/>
    </row>
    <row r="138" spans="1:15">
      <c r="A138" s="30"/>
      <c r="B138" s="58"/>
      <c r="C138" s="40"/>
      <c r="D138" s="35"/>
      <c r="E138" s="35"/>
      <c r="F138" s="35"/>
      <c r="G138" s="30"/>
      <c r="H138" s="30"/>
      <c r="I138" s="30"/>
      <c r="J138" s="30"/>
      <c r="K138" s="30"/>
      <c r="L138" s="30"/>
      <c r="M138" s="30"/>
      <c r="N138" s="30"/>
      <c r="O138" s="30"/>
    </row>
    <row r="139" spans="1:15">
      <c r="A139" s="30"/>
      <c r="B139" s="58"/>
      <c r="C139" s="40"/>
      <c r="D139" s="35"/>
      <c r="E139" s="35"/>
      <c r="F139" s="35"/>
      <c r="G139" s="30"/>
      <c r="H139" s="30"/>
      <c r="I139" s="30"/>
      <c r="J139" s="30"/>
      <c r="K139" s="30"/>
      <c r="L139" s="30"/>
      <c r="M139" s="30"/>
      <c r="N139" s="30"/>
      <c r="O139" s="30"/>
    </row>
    <row r="140" spans="1:15">
      <c r="A140" s="30"/>
      <c r="B140" s="58"/>
      <c r="C140" s="40"/>
      <c r="D140" s="36"/>
      <c r="E140" s="36"/>
      <c r="F140" s="36"/>
      <c r="G140" s="30"/>
      <c r="H140" s="30"/>
      <c r="I140" s="30"/>
      <c r="J140" s="30"/>
      <c r="K140" s="30"/>
      <c r="L140" s="30"/>
      <c r="M140" s="30"/>
      <c r="N140" s="30"/>
      <c r="O140" s="30"/>
    </row>
    <row r="141" spans="1:15">
      <c r="A141" s="30"/>
      <c r="B141" s="58"/>
      <c r="C141" s="40"/>
      <c r="D141" s="36"/>
      <c r="E141" s="36"/>
      <c r="F141" s="36"/>
      <c r="G141" s="30"/>
      <c r="H141" s="30"/>
      <c r="I141" s="30"/>
      <c r="J141" s="30"/>
      <c r="K141" s="30"/>
      <c r="L141" s="30"/>
      <c r="M141" s="30"/>
      <c r="N141" s="30"/>
      <c r="O141" s="30"/>
    </row>
    <row r="142" spans="1:15">
      <c r="A142" s="30"/>
      <c r="B142" s="58"/>
      <c r="C142" s="40"/>
      <c r="D142" s="34"/>
      <c r="E142" s="34"/>
      <c r="F142" s="34"/>
      <c r="G142" s="30"/>
      <c r="H142" s="30"/>
      <c r="I142" s="30"/>
      <c r="J142" s="30"/>
      <c r="K142" s="30"/>
      <c r="L142" s="30"/>
      <c r="M142" s="30"/>
      <c r="N142" s="30"/>
      <c r="O142" s="30"/>
    </row>
    <row r="143" spans="1:1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</row>
    <row r="144" spans="1:15">
      <c r="A144" s="30"/>
      <c r="B144" s="61"/>
      <c r="C144" s="61"/>
      <c r="D144" s="61"/>
      <c r="E144" s="61"/>
      <c r="F144" s="30"/>
      <c r="G144" s="61"/>
      <c r="H144" s="61"/>
      <c r="I144" s="61"/>
      <c r="J144" s="61"/>
      <c r="K144" s="30"/>
      <c r="L144" s="61"/>
      <c r="M144" s="61"/>
      <c r="N144" s="61"/>
      <c r="O144" s="61"/>
    </row>
    <row r="145" spans="1:15">
      <c r="A145" s="30"/>
      <c r="B145" s="43"/>
      <c r="C145" s="43"/>
      <c r="D145" s="43"/>
      <c r="E145" s="43"/>
      <c r="F145" s="30"/>
      <c r="G145" s="43"/>
      <c r="H145" s="43"/>
      <c r="I145" s="43"/>
      <c r="J145" s="43"/>
      <c r="K145" s="30"/>
      <c r="L145" s="43"/>
      <c r="M145" s="43"/>
      <c r="N145" s="43"/>
      <c r="O145" s="43"/>
    </row>
    <row r="146" spans="1:15">
      <c r="A146" s="30"/>
      <c r="B146" s="43"/>
      <c r="C146" s="31"/>
      <c r="D146" s="43"/>
      <c r="E146" s="31"/>
      <c r="F146" s="62"/>
      <c r="G146" s="43"/>
      <c r="H146" s="43"/>
      <c r="I146" s="43"/>
      <c r="J146" s="43"/>
      <c r="K146" s="62"/>
      <c r="L146" s="43"/>
      <c r="M146" s="43"/>
      <c r="N146" s="43"/>
      <c r="O146" s="43"/>
    </row>
    <row r="147" spans="1:15">
      <c r="A147" s="30"/>
      <c r="B147" s="43"/>
      <c r="C147" s="31"/>
      <c r="D147" s="43"/>
      <c r="E147" s="31"/>
      <c r="F147" s="62"/>
      <c r="G147" s="43"/>
      <c r="H147" s="43"/>
      <c r="I147" s="43"/>
      <c r="J147" s="43"/>
      <c r="K147" s="62"/>
      <c r="L147" s="43"/>
      <c r="M147" s="43"/>
      <c r="N147" s="43"/>
      <c r="O147" s="43"/>
    </row>
    <row r="148" spans="1:15">
      <c r="A148" s="30"/>
      <c r="B148" s="43"/>
      <c r="C148" s="31"/>
      <c r="D148" s="43"/>
      <c r="E148" s="31"/>
      <c r="F148" s="30"/>
      <c r="G148" s="43"/>
      <c r="H148" s="43"/>
      <c r="I148" s="43"/>
      <c r="J148" s="43"/>
      <c r="K148" s="30"/>
      <c r="L148" s="43"/>
      <c r="M148" s="43"/>
      <c r="N148" s="43"/>
      <c r="O148" s="43"/>
    </row>
    <row r="149" spans="1:15">
      <c r="A149" s="30"/>
      <c r="B149" s="43"/>
      <c r="C149" s="31"/>
      <c r="D149" s="43"/>
      <c r="E149" s="31"/>
      <c r="F149" s="30"/>
      <c r="G149" s="43"/>
      <c r="H149" s="43"/>
      <c r="I149" s="43"/>
      <c r="J149" s="43"/>
      <c r="K149" s="30"/>
      <c r="L149" s="43"/>
      <c r="M149" s="43"/>
      <c r="N149" s="43"/>
      <c r="O149" s="43"/>
    </row>
    <row r="150" spans="1:15">
      <c r="A150" s="30"/>
      <c r="B150" s="43"/>
      <c r="C150" s="31"/>
      <c r="D150" s="43"/>
      <c r="E150" s="31"/>
      <c r="F150" s="30"/>
      <c r="G150" s="43"/>
      <c r="H150" s="43"/>
      <c r="I150" s="43"/>
      <c r="J150" s="43"/>
      <c r="K150" s="30"/>
      <c r="L150" s="43"/>
      <c r="M150" s="43"/>
      <c r="N150" s="43"/>
      <c r="O150" s="43"/>
    </row>
    <row r="151" spans="1:15">
      <c r="A151" s="30"/>
      <c r="B151" s="43"/>
      <c r="C151" s="31"/>
      <c r="D151" s="43"/>
      <c r="E151" s="31"/>
      <c r="F151" s="30"/>
      <c r="G151" s="43"/>
      <c r="H151" s="43"/>
      <c r="I151" s="43"/>
      <c r="J151" s="43"/>
      <c r="K151" s="30"/>
      <c r="L151" s="43"/>
      <c r="M151" s="43"/>
      <c r="N151" s="43"/>
      <c r="O151" s="43"/>
    </row>
    <row r="152" spans="1:15">
      <c r="A152" s="30"/>
      <c r="B152" s="43"/>
      <c r="C152" s="31"/>
      <c r="D152" s="43"/>
      <c r="E152" s="31"/>
      <c r="F152" s="30"/>
      <c r="G152" s="43"/>
      <c r="H152" s="43"/>
      <c r="I152" s="43"/>
      <c r="J152" s="43"/>
      <c r="K152" s="30"/>
      <c r="L152" s="43"/>
      <c r="M152" s="43"/>
      <c r="N152" s="43"/>
      <c r="O152" s="43"/>
    </row>
    <row r="153" spans="1:15">
      <c r="A153" s="30"/>
      <c r="B153" s="43"/>
      <c r="C153" s="43"/>
      <c r="D153" s="43"/>
      <c r="E153" s="31"/>
      <c r="F153" s="30"/>
      <c r="G153" s="43"/>
      <c r="H153" s="43"/>
      <c r="I153" s="43"/>
      <c r="J153" s="43"/>
      <c r="K153" s="30"/>
      <c r="L153" s="43"/>
      <c r="M153" s="43"/>
      <c r="N153" s="43"/>
      <c r="O153" s="43"/>
    </row>
    <row r="154" spans="1:15">
      <c r="A154" s="30"/>
      <c r="B154" s="43"/>
      <c r="C154" s="31"/>
      <c r="D154" s="43"/>
      <c r="E154" s="31"/>
      <c r="F154" s="62"/>
      <c r="G154" s="43"/>
      <c r="H154" s="43"/>
      <c r="I154" s="43"/>
      <c r="J154" s="43"/>
      <c r="K154" s="62"/>
      <c r="L154" s="43"/>
      <c r="M154" s="43"/>
      <c r="N154" s="43"/>
      <c r="O154" s="43"/>
    </row>
    <row r="155" spans="1:15">
      <c r="A155" s="30"/>
      <c r="B155" s="43"/>
      <c r="C155" s="31"/>
      <c r="D155" s="43"/>
      <c r="E155" s="31"/>
      <c r="F155" s="62"/>
      <c r="G155" s="43"/>
      <c r="H155" s="43"/>
      <c r="I155" s="43"/>
      <c r="J155" s="43"/>
      <c r="K155" s="62"/>
      <c r="L155" s="43"/>
      <c r="M155" s="43"/>
      <c r="N155" s="43"/>
      <c r="O155" s="43"/>
    </row>
    <row r="156" spans="1:15">
      <c r="A156" s="30"/>
      <c r="B156" s="43"/>
      <c r="C156" s="31"/>
      <c r="D156" s="43"/>
      <c r="E156" s="31"/>
      <c r="F156" s="30"/>
      <c r="G156" s="43"/>
      <c r="H156" s="43"/>
      <c r="I156" s="43"/>
      <c r="J156" s="43"/>
      <c r="K156" s="30"/>
      <c r="L156" s="43"/>
      <c r="M156" s="43"/>
      <c r="N156" s="43"/>
      <c r="O156" s="43"/>
    </row>
    <row r="157" spans="1:15">
      <c r="A157" s="30"/>
      <c r="B157" s="43"/>
      <c r="C157" s="30"/>
      <c r="D157" s="43"/>
      <c r="E157" s="30"/>
      <c r="F157" s="30"/>
      <c r="G157" s="43"/>
      <c r="H157" s="43"/>
      <c r="I157" s="43"/>
      <c r="J157" s="43"/>
      <c r="K157" s="30"/>
      <c r="L157" s="43"/>
      <c r="M157" s="43"/>
      <c r="N157" s="43"/>
      <c r="O157" s="43"/>
    </row>
    <row r="158" spans="1:15">
      <c r="A158" s="30"/>
      <c r="B158" s="43"/>
      <c r="C158" s="30"/>
      <c r="D158" s="43"/>
      <c r="E158" s="30"/>
      <c r="F158" s="30"/>
      <c r="G158" s="43"/>
      <c r="H158" s="43"/>
      <c r="I158" s="43"/>
      <c r="J158" s="43"/>
      <c r="K158" s="30"/>
      <c r="L158" s="43"/>
      <c r="M158" s="43"/>
      <c r="N158" s="43"/>
      <c r="O158" s="43"/>
    </row>
    <row r="159" spans="1:15">
      <c r="A159" s="30"/>
      <c r="B159" s="43"/>
      <c r="C159" s="30"/>
      <c r="D159" s="43"/>
      <c r="E159" s="30"/>
      <c r="F159" s="30"/>
      <c r="G159" s="43"/>
      <c r="H159" s="43"/>
      <c r="I159" s="43"/>
      <c r="J159" s="43"/>
      <c r="K159" s="30"/>
      <c r="L159" s="43"/>
      <c r="M159" s="43"/>
      <c r="N159" s="43"/>
      <c r="O159" s="43"/>
    </row>
    <row r="160" spans="1:15">
      <c r="A160" s="30"/>
      <c r="B160" s="43"/>
      <c r="C160" s="30"/>
      <c r="D160" s="43"/>
      <c r="E160" s="30"/>
      <c r="F160" s="30"/>
      <c r="G160" s="43"/>
      <c r="H160" s="43"/>
      <c r="I160" s="43"/>
      <c r="J160" s="43"/>
      <c r="K160" s="30"/>
      <c r="L160" s="43"/>
      <c r="M160" s="43"/>
      <c r="N160" s="43"/>
      <c r="O160" s="43"/>
    </row>
    <row r="161" spans="1:15">
      <c r="A161" s="30"/>
      <c r="B161" s="43"/>
      <c r="C161" s="43"/>
      <c r="D161" s="43"/>
      <c r="E161" s="31"/>
      <c r="F161" s="39"/>
      <c r="G161" s="43"/>
      <c r="H161" s="43"/>
      <c r="I161" s="43"/>
      <c r="J161" s="43"/>
      <c r="K161" s="30"/>
      <c r="L161" s="43"/>
      <c r="M161" s="43"/>
      <c r="N161" s="43"/>
      <c r="O161" s="43"/>
    </row>
    <row r="162" spans="1:1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</row>
    <row r="163" spans="1:1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</row>
    <row r="164" spans="1:15" ht="20.25">
      <c r="A164" s="32"/>
      <c r="B164" s="57"/>
      <c r="C164" s="57"/>
      <c r="D164" s="39"/>
      <c r="E164" s="39"/>
      <c r="F164" s="39"/>
      <c r="G164" s="30"/>
      <c r="H164" s="30"/>
      <c r="I164" s="30"/>
      <c r="J164" s="30"/>
      <c r="K164" s="30"/>
      <c r="L164" s="30"/>
      <c r="M164" s="30"/>
      <c r="N164" s="30"/>
      <c r="O164" s="30"/>
    </row>
    <row r="165" spans="1:15">
      <c r="A165" s="30"/>
      <c r="B165" s="58"/>
      <c r="C165" s="40"/>
      <c r="D165" s="33"/>
      <c r="E165" s="33"/>
      <c r="F165" s="33"/>
      <c r="G165" s="30"/>
      <c r="H165" s="30"/>
      <c r="I165" s="30"/>
      <c r="J165" s="30"/>
      <c r="K165" s="30"/>
      <c r="L165" s="30"/>
      <c r="M165" s="30"/>
      <c r="N165" s="30"/>
      <c r="O165" s="30"/>
    </row>
    <row r="166" spans="1:15">
      <c r="A166" s="30"/>
      <c r="B166" s="58"/>
      <c r="C166" s="40"/>
      <c r="D166" s="33"/>
      <c r="E166" s="33"/>
      <c r="F166" s="33"/>
      <c r="G166" s="30"/>
      <c r="H166" s="30"/>
      <c r="I166" s="30"/>
      <c r="J166" s="30"/>
      <c r="K166" s="30"/>
      <c r="L166" s="30"/>
      <c r="M166" s="30"/>
      <c r="N166" s="30"/>
      <c r="O166" s="30"/>
    </row>
    <row r="167" spans="1:15">
      <c r="A167" s="30"/>
      <c r="B167" s="58"/>
      <c r="C167" s="40"/>
      <c r="D167" s="33"/>
      <c r="E167" s="33"/>
      <c r="F167" s="33"/>
      <c r="G167" s="30"/>
      <c r="H167" s="30"/>
      <c r="I167" s="30"/>
      <c r="J167" s="30"/>
      <c r="K167" s="30"/>
      <c r="L167" s="30"/>
      <c r="M167" s="30"/>
      <c r="N167" s="30"/>
      <c r="O167" s="30"/>
    </row>
    <row r="168" spans="1:15">
      <c r="A168" s="30"/>
      <c r="B168" s="58"/>
      <c r="C168" s="40"/>
      <c r="D168" s="33"/>
      <c r="E168" s="33"/>
      <c r="F168" s="33"/>
      <c r="G168" s="30"/>
      <c r="H168" s="30"/>
      <c r="I168" s="30"/>
      <c r="J168" s="30"/>
      <c r="K168" s="30"/>
      <c r="L168" s="30"/>
      <c r="M168" s="30"/>
      <c r="N168" s="30"/>
      <c r="O168" s="30"/>
    </row>
    <row r="169" spans="1:15">
      <c r="A169" s="30"/>
      <c r="B169" s="58"/>
      <c r="C169" s="40"/>
      <c r="D169" s="33"/>
      <c r="E169" s="33"/>
      <c r="F169" s="33"/>
      <c r="G169" s="30"/>
      <c r="H169" s="30"/>
      <c r="I169" s="30"/>
      <c r="J169" s="30"/>
      <c r="K169" s="30"/>
      <c r="L169" s="30"/>
      <c r="M169" s="30"/>
      <c r="N169" s="30"/>
      <c r="O169" s="30"/>
    </row>
    <row r="170" spans="1:15">
      <c r="A170" s="30"/>
      <c r="B170" s="58"/>
      <c r="C170" s="40"/>
      <c r="D170" s="33"/>
      <c r="E170" s="33"/>
      <c r="F170" s="33"/>
      <c r="G170" s="30"/>
      <c r="H170" s="30"/>
      <c r="I170" s="30"/>
      <c r="J170" s="30"/>
      <c r="K170" s="30"/>
      <c r="L170" s="30"/>
      <c r="M170" s="30"/>
      <c r="N170" s="30"/>
      <c r="O170" s="30"/>
    </row>
    <row r="171" spans="1:15">
      <c r="A171" s="30"/>
      <c r="B171" s="58"/>
      <c r="C171" s="40"/>
      <c r="D171" s="34"/>
      <c r="E171" s="34"/>
      <c r="F171" s="34"/>
      <c r="G171" s="30"/>
      <c r="H171" s="30"/>
      <c r="I171" s="30"/>
      <c r="J171" s="30"/>
      <c r="K171" s="30"/>
      <c r="L171" s="30"/>
      <c r="M171" s="30"/>
      <c r="N171" s="30"/>
      <c r="O171" s="30"/>
    </row>
    <row r="172" spans="1:15">
      <c r="A172" s="30"/>
      <c r="B172" s="58"/>
      <c r="C172" s="40"/>
      <c r="D172" s="33"/>
      <c r="E172" s="33"/>
      <c r="F172" s="33"/>
      <c r="G172" s="30"/>
      <c r="H172" s="30"/>
      <c r="I172" s="30"/>
      <c r="J172" s="30"/>
      <c r="K172" s="30"/>
      <c r="L172" s="30"/>
      <c r="M172" s="30"/>
      <c r="N172" s="30"/>
      <c r="O172" s="30"/>
    </row>
    <row r="173" spans="1:15">
      <c r="A173" s="30"/>
      <c r="B173" s="58"/>
      <c r="C173" s="40"/>
      <c r="D173" s="33"/>
      <c r="E173" s="33"/>
      <c r="F173" s="33"/>
      <c r="G173" s="30"/>
      <c r="H173" s="30"/>
      <c r="I173" s="30"/>
      <c r="J173" s="30"/>
      <c r="K173" s="30"/>
      <c r="L173" s="30"/>
      <c r="M173" s="30"/>
      <c r="N173" s="30"/>
      <c r="O173" s="30"/>
    </row>
    <row r="174" spans="1:15">
      <c r="A174" s="30"/>
      <c r="B174" s="58"/>
      <c r="C174" s="40"/>
      <c r="D174" s="35"/>
      <c r="E174" s="35"/>
      <c r="F174" s="35"/>
      <c r="G174" s="30"/>
      <c r="H174" s="30"/>
      <c r="I174" s="30"/>
      <c r="J174" s="30"/>
      <c r="K174" s="30"/>
      <c r="L174" s="30"/>
      <c r="M174" s="30"/>
      <c r="N174" s="30"/>
      <c r="O174" s="30"/>
    </row>
    <row r="175" spans="1:15">
      <c r="A175" s="30"/>
      <c r="B175" s="58"/>
      <c r="C175" s="40"/>
      <c r="D175" s="35"/>
      <c r="E175" s="35"/>
      <c r="F175" s="35"/>
      <c r="G175" s="30"/>
      <c r="H175" s="30"/>
      <c r="I175" s="30"/>
      <c r="J175" s="30"/>
      <c r="K175" s="30"/>
      <c r="L175" s="30"/>
      <c r="M175" s="30"/>
      <c r="N175" s="30"/>
      <c r="O175" s="30"/>
    </row>
    <row r="176" spans="1:15">
      <c r="A176" s="30"/>
      <c r="B176" s="58"/>
      <c r="C176" s="40"/>
      <c r="D176" s="36"/>
      <c r="E176" s="36"/>
      <c r="F176" s="36"/>
      <c r="G176" s="30"/>
      <c r="H176" s="30"/>
      <c r="I176" s="30"/>
      <c r="J176" s="30"/>
      <c r="K176" s="30"/>
      <c r="L176" s="30"/>
      <c r="M176" s="30"/>
      <c r="N176" s="30"/>
      <c r="O176" s="30"/>
    </row>
    <row r="177" spans="1:15">
      <c r="A177" s="30"/>
      <c r="B177" s="58"/>
      <c r="C177" s="40"/>
      <c r="D177" s="36"/>
      <c r="E177" s="36"/>
      <c r="F177" s="36"/>
      <c r="G177" s="30"/>
      <c r="H177" s="30"/>
      <c r="I177" s="30"/>
      <c r="J177" s="30"/>
      <c r="K177" s="30"/>
      <c r="L177" s="30"/>
      <c r="M177" s="30"/>
      <c r="N177" s="30"/>
      <c r="O177" s="30"/>
    </row>
    <row r="178" spans="1:15">
      <c r="A178" s="30"/>
      <c r="B178" s="58"/>
      <c r="C178" s="40"/>
      <c r="D178" s="34"/>
      <c r="E178" s="34"/>
      <c r="F178" s="34"/>
      <c r="G178" s="30"/>
      <c r="H178" s="30"/>
      <c r="I178" s="30"/>
      <c r="J178" s="30"/>
      <c r="K178" s="30"/>
      <c r="L178" s="30"/>
      <c r="M178" s="30"/>
      <c r="N178" s="30"/>
      <c r="O178" s="30"/>
    </row>
    <row r="179" spans="1:1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</row>
    <row r="180" spans="1:1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</row>
    <row r="181" spans="1:1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</row>
    <row r="182" spans="1:1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</row>
    <row r="183" spans="1:1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</row>
    <row r="184" spans="1:1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</row>
    <row r="185" spans="1:1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</row>
    <row r="186" spans="1:1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</row>
    <row r="187" spans="1:1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</row>
    <row r="188" spans="1:1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</row>
    <row r="189" spans="1:1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</row>
    <row r="190" spans="1:1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</row>
    <row r="191" spans="1:1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</row>
    <row r="192" spans="1:1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</row>
    <row r="193" spans="1:1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</row>
    <row r="194" spans="1:1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</row>
    <row r="195" spans="1:1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</row>
  </sheetData>
  <mergeCells count="21">
    <mergeCell ref="A1:D1"/>
    <mergeCell ref="F2:K2"/>
    <mergeCell ref="F21:N52"/>
    <mergeCell ref="A22:D22"/>
    <mergeCell ref="A31:C31"/>
    <mergeCell ref="A39:C39"/>
    <mergeCell ref="A41:D41"/>
    <mergeCell ref="F11:F17"/>
    <mergeCell ref="F20:N20"/>
    <mergeCell ref="E12:E13"/>
    <mergeCell ref="F3:G3"/>
    <mergeCell ref="A2:D2"/>
    <mergeCell ref="E4:E5"/>
    <mergeCell ref="F4:F10"/>
    <mergeCell ref="A50:C50"/>
    <mergeCell ref="A69:C69"/>
    <mergeCell ref="A77:C77"/>
    <mergeCell ref="A58:C58"/>
    <mergeCell ref="A11:C11"/>
    <mergeCell ref="A19:C19"/>
    <mergeCell ref="A60:D60"/>
  </mergeCells>
  <phoneticPr fontId="1" type="noConversion"/>
  <conditionalFormatting sqref="E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{0965B3F8-A38D-4144-BB7D-2BA50FA52BD1}</x14:id>
        </ext>
      </extLst>
    </cfRule>
  </conditionalFormatting>
  <conditionalFormatting sqref="E22:E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{9901DD32-3061-4494-9F18-3A89522C5CEA}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65B3F8-A38D-4144-BB7D-2BA50FA52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E37</xm:sqref>
        </x14:conditionalFormatting>
        <x14:conditionalFormatting xmlns:xm="http://schemas.microsoft.com/office/excel/2006/main">
          <x14:cfRule type="dataBar" id="{9901DD32-3061-4494-9F18-3A89522C5C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E22:E35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AL468"/>
  <sheetViews>
    <sheetView tabSelected="1" topLeftCell="A48" workbookViewId="0">
      <selection activeCell="F51" sqref="F51"/>
    </sheetView>
  </sheetViews>
  <sheetFormatPr defaultRowHeight="16.5"/>
  <sheetData>
    <row r="3" spans="2:38" ht="17.25">
      <c r="B3" s="124" t="s">
        <v>119</v>
      </c>
      <c r="C3" s="124"/>
      <c r="D3" s="124"/>
      <c r="E3" s="124"/>
      <c r="G3" s="122" t="s">
        <v>73</v>
      </c>
      <c r="H3" s="122"/>
      <c r="I3" s="122"/>
      <c r="J3" s="122"/>
      <c r="L3" s="124" t="s">
        <v>122</v>
      </c>
      <c r="M3" s="124"/>
      <c r="N3" s="124"/>
      <c r="O3" s="124"/>
      <c r="Q3" s="122" t="s">
        <v>123</v>
      </c>
      <c r="R3" s="122"/>
      <c r="S3" s="122"/>
      <c r="T3" s="122"/>
    </row>
    <row r="4" spans="2:38">
      <c r="B4" s="49" t="s">
        <v>78</v>
      </c>
      <c r="C4" s="49" t="s">
        <v>77</v>
      </c>
      <c r="D4" s="49" t="s">
        <v>75</v>
      </c>
      <c r="E4" s="49" t="s">
        <v>76</v>
      </c>
      <c r="G4" s="9" t="s">
        <v>32</v>
      </c>
      <c r="H4" s="9" t="s">
        <v>33</v>
      </c>
      <c r="I4" s="9" t="s">
        <v>34</v>
      </c>
      <c r="J4" s="9" t="s">
        <v>35</v>
      </c>
      <c r="L4" s="50" t="s">
        <v>78</v>
      </c>
      <c r="M4" s="50" t="s">
        <v>77</v>
      </c>
      <c r="N4" s="50" t="s">
        <v>75</v>
      </c>
      <c r="O4" s="50" t="s">
        <v>76</v>
      </c>
      <c r="Q4" s="9" t="s">
        <v>32</v>
      </c>
      <c r="R4" s="9" t="s">
        <v>33</v>
      </c>
      <c r="S4" s="9" t="s">
        <v>34</v>
      </c>
      <c r="T4" s="9" t="s">
        <v>35</v>
      </c>
    </row>
    <row r="5" spans="2:38">
      <c r="B5" s="78">
        <v>2015</v>
      </c>
      <c r="C5" s="77" t="s">
        <v>79</v>
      </c>
      <c r="D5" s="77">
        <v>86</v>
      </c>
      <c r="E5" s="81">
        <v>9.5000000000000001E-2</v>
      </c>
      <c r="G5" s="9" t="s">
        <v>49</v>
      </c>
      <c r="H5" s="8">
        <v>0.31</v>
      </c>
      <c r="I5" s="8">
        <v>0.32</v>
      </c>
      <c r="J5" s="8">
        <v>0.32600000000000001</v>
      </c>
      <c r="L5" s="70">
        <v>2015</v>
      </c>
      <c r="M5" s="69" t="s">
        <v>79</v>
      </c>
      <c r="N5" s="4">
        <v>352</v>
      </c>
      <c r="O5" s="8">
        <f>N5/N11</f>
        <v>6.2037363412054986E-2</v>
      </c>
      <c r="Q5" s="42" t="s">
        <v>49</v>
      </c>
      <c r="R5" s="8">
        <f>O6</f>
        <v>0.31600281988015511</v>
      </c>
      <c r="S5" s="8">
        <f>O13</f>
        <v>0.26863653920432601</v>
      </c>
      <c r="T5" s="8">
        <f>O20</f>
        <v>0.25465838509316768</v>
      </c>
    </row>
    <row r="6" spans="2:38">
      <c r="B6" s="78">
        <v>2015</v>
      </c>
      <c r="C6" s="77" t="s">
        <v>80</v>
      </c>
      <c r="D6" s="77">
        <v>282</v>
      </c>
      <c r="E6" s="81">
        <v>0.31</v>
      </c>
      <c r="G6" s="9" t="s">
        <v>47</v>
      </c>
      <c r="H6" s="8">
        <v>0.23899999999999999</v>
      </c>
      <c r="I6" s="8">
        <v>0.23400000000000001</v>
      </c>
      <c r="J6" s="8">
        <v>0.25</v>
      </c>
      <c r="L6" s="70">
        <v>2015</v>
      </c>
      <c r="M6" s="69" t="s">
        <v>80</v>
      </c>
      <c r="N6" s="4">
        <v>1793</v>
      </c>
      <c r="O6" s="8">
        <f>N6/N11</f>
        <v>0.31600281988015511</v>
      </c>
      <c r="Q6" s="42" t="s">
        <v>47</v>
      </c>
      <c r="R6" s="8">
        <f>O8</f>
        <v>0.41963341557983785</v>
      </c>
      <c r="S6" s="8">
        <f>O15</f>
        <v>0.47219003476245652</v>
      </c>
      <c r="T6" s="8">
        <f>O22</f>
        <v>0.48825935464323589</v>
      </c>
    </row>
    <row r="7" spans="2:38">
      <c r="B7" s="78">
        <v>2015</v>
      </c>
      <c r="C7" s="77" t="s">
        <v>81</v>
      </c>
      <c r="D7" s="77">
        <v>41</v>
      </c>
      <c r="E7" s="81">
        <v>4.4999999999999998E-2</v>
      </c>
      <c r="G7" s="9" t="s">
        <v>50</v>
      </c>
      <c r="H7" s="8">
        <v>9.5000000000000001E-2</v>
      </c>
      <c r="I7" s="8">
        <v>7.9000000000000001E-2</v>
      </c>
      <c r="J7" s="8">
        <v>5.6000000000000001E-2</v>
      </c>
      <c r="L7" s="70">
        <v>2015</v>
      </c>
      <c r="M7" s="69" t="s">
        <v>81</v>
      </c>
      <c r="N7" s="4">
        <v>191</v>
      </c>
      <c r="O7" s="8">
        <f>N7/N11</f>
        <v>3.3662319351427564E-2</v>
      </c>
      <c r="Q7" s="42" t="s">
        <v>50</v>
      </c>
      <c r="R7" s="8">
        <f>O5</f>
        <v>6.2037363412054986E-2</v>
      </c>
      <c r="S7" s="8">
        <f>O12</f>
        <v>4.6349942062572425E-2</v>
      </c>
      <c r="T7" s="8">
        <f>O19</f>
        <v>4.4690198454779576E-2</v>
      </c>
    </row>
    <row r="8" spans="2:38">
      <c r="B8" s="78">
        <v>2015</v>
      </c>
      <c r="C8" s="77" t="s">
        <v>82</v>
      </c>
      <c r="D8" s="77">
        <v>217</v>
      </c>
      <c r="E8" s="81">
        <v>0.23899999999999999</v>
      </c>
      <c r="G8" s="9" t="s">
        <v>48</v>
      </c>
      <c r="H8" s="8">
        <v>6.8000000000000005E-2</v>
      </c>
      <c r="I8" s="8">
        <v>7.2999999999999995E-2</v>
      </c>
      <c r="J8" s="8">
        <v>0.06</v>
      </c>
      <c r="L8" s="70">
        <v>2015</v>
      </c>
      <c r="M8" s="69" t="s">
        <v>82</v>
      </c>
      <c r="N8" s="4">
        <v>2381</v>
      </c>
      <c r="O8" s="8">
        <f>N8/N11</f>
        <v>0.41963341557983785</v>
      </c>
      <c r="Q8" s="42" t="s">
        <v>48</v>
      </c>
      <c r="R8" s="8">
        <f>O9</f>
        <v>7.3845611561508637E-2</v>
      </c>
      <c r="S8" s="8">
        <f>O16</f>
        <v>6.8366164542294328E-2</v>
      </c>
      <c r="T8" s="8">
        <f>O23</f>
        <v>5.3779730343887291E-2</v>
      </c>
    </row>
    <row r="9" spans="2:38">
      <c r="B9" s="78">
        <v>2015</v>
      </c>
      <c r="C9" s="77" t="s">
        <v>83</v>
      </c>
      <c r="D9" s="77">
        <v>62</v>
      </c>
      <c r="E9" s="81">
        <v>6.8000000000000005E-2</v>
      </c>
      <c r="G9" s="9" t="s">
        <v>51</v>
      </c>
      <c r="H9" s="8">
        <v>0.24299999999999999</v>
      </c>
      <c r="I9" s="8">
        <v>0.23</v>
      </c>
      <c r="J9" s="8">
        <v>0.26</v>
      </c>
      <c r="L9" s="70">
        <v>2015</v>
      </c>
      <c r="M9" s="69" t="s">
        <v>83</v>
      </c>
      <c r="N9" s="4">
        <v>419</v>
      </c>
      <c r="O9" s="8">
        <f>N9/N11</f>
        <v>7.3845611561508637E-2</v>
      </c>
      <c r="Q9" s="42" t="s">
        <v>51</v>
      </c>
      <c r="R9" s="8">
        <f>O10</f>
        <v>9.4818470215015868E-2</v>
      </c>
      <c r="S9" s="8">
        <f>O17</f>
        <v>0.10660486674391657</v>
      </c>
      <c r="T9" s="8">
        <f>O24</f>
        <v>0.12725344644750794</v>
      </c>
    </row>
    <row r="10" spans="2:38">
      <c r="B10" s="78">
        <v>2015</v>
      </c>
      <c r="C10" s="77" t="s">
        <v>84</v>
      </c>
      <c r="D10" s="77">
        <v>221</v>
      </c>
      <c r="E10" s="81">
        <v>0.24299999999999999</v>
      </c>
      <c r="G10" s="9" t="s">
        <v>52</v>
      </c>
      <c r="H10" s="8">
        <v>4.4999999999999998E-2</v>
      </c>
      <c r="I10" s="8">
        <v>5.8999999999999997E-2</v>
      </c>
      <c r="J10" s="8">
        <v>0.05</v>
      </c>
      <c r="L10" s="70">
        <v>2015</v>
      </c>
      <c r="M10" s="69" t="s">
        <v>84</v>
      </c>
      <c r="N10" s="4">
        <v>538</v>
      </c>
      <c r="O10" s="8">
        <f>N10/N11</f>
        <v>9.4818470215015868E-2</v>
      </c>
      <c r="Q10" s="42" t="s">
        <v>52</v>
      </c>
      <c r="R10" s="8">
        <f>O7</f>
        <v>3.3662319351427564E-2</v>
      </c>
      <c r="S10" s="8">
        <f>O14</f>
        <v>3.7852452684434143E-2</v>
      </c>
      <c r="T10" s="8">
        <f>O21</f>
        <v>3.1358885017421602E-2</v>
      </c>
    </row>
    <row r="11" spans="2:38">
      <c r="B11" s="123" t="s">
        <v>1083</v>
      </c>
      <c r="C11" s="123"/>
      <c r="D11" s="77">
        <v>909</v>
      </c>
      <c r="E11" s="81">
        <f>SUM(E5:E10)</f>
        <v>1</v>
      </c>
      <c r="G11" s="67" t="s">
        <v>23</v>
      </c>
      <c r="H11" s="19">
        <f>SUM(H5:H10)</f>
        <v>1</v>
      </c>
      <c r="I11" s="19">
        <f>SUM(I5:I10)</f>
        <v>0.99499999999999988</v>
      </c>
      <c r="J11" s="19">
        <f>SUM(J5:J10)</f>
        <v>1.0020000000000002</v>
      </c>
      <c r="L11" s="123" t="s">
        <v>1083</v>
      </c>
      <c r="M11" s="123"/>
      <c r="N11" s="4">
        <v>5674</v>
      </c>
      <c r="O11" s="8">
        <f>SUM(O5:O10)</f>
        <v>1</v>
      </c>
      <c r="Q11" s="12" t="s">
        <v>23</v>
      </c>
      <c r="R11" s="19">
        <f>O11</f>
        <v>1</v>
      </c>
      <c r="S11" s="19">
        <f>O18</f>
        <v>1</v>
      </c>
      <c r="T11" s="19">
        <f>O25</f>
        <v>0.99999999999999989</v>
      </c>
      <c r="AL11" t="s">
        <v>125</v>
      </c>
    </row>
    <row r="12" spans="2:38">
      <c r="B12" s="79">
        <v>2016</v>
      </c>
      <c r="C12" s="82" t="s">
        <v>79</v>
      </c>
      <c r="D12" s="82">
        <v>78</v>
      </c>
      <c r="E12" s="81">
        <v>7.9000000000000001E-2</v>
      </c>
      <c r="G12" s="1"/>
      <c r="H12" s="1"/>
      <c r="I12" s="1"/>
      <c r="J12" s="73"/>
      <c r="L12" s="83">
        <v>2016</v>
      </c>
      <c r="M12" s="69" t="s">
        <v>79</v>
      </c>
      <c r="N12" s="4">
        <v>240</v>
      </c>
      <c r="O12" s="8">
        <f>N12/N18</f>
        <v>4.6349942062572425E-2</v>
      </c>
      <c r="Q12" s="1"/>
      <c r="R12" s="1"/>
      <c r="T12" s="5"/>
    </row>
    <row r="13" spans="2:38">
      <c r="B13" s="79">
        <v>2016</v>
      </c>
      <c r="C13" s="82" t="s">
        <v>80</v>
      </c>
      <c r="D13" s="82">
        <v>318</v>
      </c>
      <c r="E13" s="81">
        <v>0.32</v>
      </c>
      <c r="G13" s="1"/>
      <c r="H13" s="1"/>
      <c r="I13" s="1"/>
      <c r="J13" s="73"/>
      <c r="L13" s="83">
        <v>2016</v>
      </c>
      <c r="M13" s="69" t="s">
        <v>80</v>
      </c>
      <c r="N13" s="4">
        <v>1391</v>
      </c>
      <c r="O13" s="8">
        <f>N13/N18</f>
        <v>0.26863653920432601</v>
      </c>
      <c r="Q13" s="1"/>
      <c r="R13" s="1"/>
      <c r="T13" s="5"/>
    </row>
    <row r="14" spans="2:38">
      <c r="B14" s="79">
        <v>2016</v>
      </c>
      <c r="C14" s="82" t="s">
        <v>81</v>
      </c>
      <c r="D14" s="82">
        <v>58</v>
      </c>
      <c r="E14" s="81">
        <v>5.8999999999999997E-2</v>
      </c>
      <c r="G14" s="1"/>
      <c r="H14" s="1"/>
      <c r="I14" s="1"/>
      <c r="J14" s="73"/>
      <c r="L14" s="83">
        <v>2016</v>
      </c>
      <c r="M14" s="69" t="s">
        <v>81</v>
      </c>
      <c r="N14" s="4">
        <v>196</v>
      </c>
      <c r="O14" s="8">
        <f>N14/N18</f>
        <v>3.7852452684434143E-2</v>
      </c>
      <c r="Q14" s="1"/>
      <c r="R14" s="1"/>
      <c r="T14" s="5"/>
    </row>
    <row r="15" spans="2:38">
      <c r="B15" s="79">
        <v>2016</v>
      </c>
      <c r="C15" s="82" t="s">
        <v>82</v>
      </c>
      <c r="D15" s="82">
        <v>230</v>
      </c>
      <c r="E15" s="81">
        <v>0.23400000000000001</v>
      </c>
      <c r="G15" s="1"/>
      <c r="H15" s="1"/>
      <c r="I15" s="1"/>
      <c r="J15" s="73"/>
      <c r="L15" s="83">
        <v>2016</v>
      </c>
      <c r="M15" s="69" t="s">
        <v>82</v>
      </c>
      <c r="N15" s="4">
        <v>2445</v>
      </c>
      <c r="O15" s="8">
        <f>N15/N18</f>
        <v>0.47219003476245652</v>
      </c>
      <c r="Q15" s="1"/>
      <c r="R15" s="1"/>
      <c r="T15" s="5"/>
      <c r="AL15" t="s">
        <v>126</v>
      </c>
    </row>
    <row r="16" spans="2:38">
      <c r="B16" s="79">
        <v>2016</v>
      </c>
      <c r="C16" s="82" t="s">
        <v>83</v>
      </c>
      <c r="D16" s="82">
        <v>72</v>
      </c>
      <c r="E16" s="81">
        <v>7.2999999999999995E-2</v>
      </c>
      <c r="G16" s="1"/>
      <c r="H16" s="1"/>
      <c r="I16" s="1"/>
      <c r="J16" s="73"/>
      <c r="L16" s="83">
        <v>2016</v>
      </c>
      <c r="M16" s="69" t="s">
        <v>83</v>
      </c>
      <c r="N16" s="4">
        <v>354</v>
      </c>
      <c r="O16" s="8">
        <f>N16/N18</f>
        <v>6.8366164542294328E-2</v>
      </c>
      <c r="Q16" s="1"/>
      <c r="R16" s="1"/>
      <c r="T16" s="5"/>
    </row>
    <row r="17" spans="2:20">
      <c r="B17" s="79">
        <v>2016</v>
      </c>
      <c r="C17" s="82" t="s">
        <v>84</v>
      </c>
      <c r="D17" s="82">
        <v>227</v>
      </c>
      <c r="E17" s="81">
        <v>0.23</v>
      </c>
      <c r="G17" s="1"/>
      <c r="H17" s="1"/>
      <c r="I17" s="1"/>
      <c r="J17" s="73"/>
      <c r="L17" s="83">
        <v>2016</v>
      </c>
      <c r="M17" s="69" t="s">
        <v>84</v>
      </c>
      <c r="N17" s="4">
        <v>552</v>
      </c>
      <c r="O17" s="8">
        <f>N17/N18</f>
        <v>0.10660486674391657</v>
      </c>
      <c r="Q17" s="1"/>
      <c r="R17" s="1"/>
      <c r="T17" s="5"/>
    </row>
    <row r="18" spans="2:20">
      <c r="B18" s="123" t="s">
        <v>1083</v>
      </c>
      <c r="C18" s="123"/>
      <c r="D18" s="82">
        <v>983</v>
      </c>
      <c r="E18" s="81">
        <f>SUM(E12:E17)</f>
        <v>0.995</v>
      </c>
      <c r="G18" s="1"/>
      <c r="H18" s="1"/>
      <c r="I18" s="1"/>
      <c r="J18" s="73"/>
      <c r="L18" s="123" t="s">
        <v>1083</v>
      </c>
      <c r="M18" s="123"/>
      <c r="N18" s="4">
        <v>5178</v>
      </c>
      <c r="O18" s="8">
        <f>SUM(O12:O17)</f>
        <v>1</v>
      </c>
      <c r="Q18" s="1"/>
      <c r="R18" s="1"/>
      <c r="T18" s="5"/>
    </row>
    <row r="19" spans="2:20">
      <c r="B19" s="80">
        <v>2017</v>
      </c>
      <c r="C19" s="69" t="s">
        <v>79</v>
      </c>
      <c r="D19" s="69">
        <v>74</v>
      </c>
      <c r="E19" s="47">
        <v>5.6000000000000001E-2</v>
      </c>
      <c r="G19" s="1"/>
      <c r="H19" s="1"/>
      <c r="I19" s="1"/>
      <c r="J19" s="73"/>
      <c r="L19" s="76">
        <v>2017</v>
      </c>
      <c r="M19" s="69" t="s">
        <v>79</v>
      </c>
      <c r="N19" s="4">
        <v>295</v>
      </c>
      <c r="O19" s="8">
        <f>N19/N25</f>
        <v>4.4690198454779576E-2</v>
      </c>
      <c r="Q19" s="1"/>
      <c r="R19" s="1"/>
      <c r="T19" s="5"/>
    </row>
    <row r="20" spans="2:20">
      <c r="B20" s="80">
        <v>2017</v>
      </c>
      <c r="C20" s="69" t="s">
        <v>80</v>
      </c>
      <c r="D20" s="69">
        <v>429</v>
      </c>
      <c r="E20" s="47">
        <v>0.32600000000000001</v>
      </c>
      <c r="G20" s="1"/>
      <c r="H20" s="1"/>
      <c r="I20" s="1"/>
      <c r="J20" s="73"/>
      <c r="L20" s="76">
        <v>2017</v>
      </c>
      <c r="M20" s="69" t="s">
        <v>80</v>
      </c>
      <c r="N20" s="4">
        <v>1681</v>
      </c>
      <c r="O20" s="8">
        <f>N20/N25</f>
        <v>0.25465838509316768</v>
      </c>
      <c r="Q20" s="1"/>
      <c r="R20" s="1"/>
      <c r="T20" s="5"/>
    </row>
    <row r="21" spans="2:20">
      <c r="B21" s="80">
        <v>2017</v>
      </c>
      <c r="C21" s="69" t="s">
        <v>81</v>
      </c>
      <c r="D21" s="69">
        <v>63</v>
      </c>
      <c r="E21" s="47">
        <v>0.05</v>
      </c>
      <c r="G21" s="1"/>
      <c r="H21" s="1"/>
      <c r="I21" s="1"/>
      <c r="J21" s="73"/>
      <c r="L21" s="76">
        <v>2017</v>
      </c>
      <c r="M21" s="69" t="s">
        <v>81</v>
      </c>
      <c r="N21" s="4">
        <v>207</v>
      </c>
      <c r="O21" s="8">
        <f>N21/N25</f>
        <v>3.1358885017421602E-2</v>
      </c>
      <c r="Q21" s="1"/>
      <c r="R21" s="1"/>
      <c r="T21" s="5"/>
    </row>
    <row r="22" spans="2:20">
      <c r="B22" s="80">
        <v>2017</v>
      </c>
      <c r="C22" s="69" t="s">
        <v>82</v>
      </c>
      <c r="D22" s="69">
        <v>324</v>
      </c>
      <c r="E22" s="47">
        <v>0.25</v>
      </c>
      <c r="G22" s="1"/>
      <c r="H22" s="1"/>
      <c r="I22" s="1"/>
      <c r="J22" s="73"/>
      <c r="L22" s="76">
        <v>2017</v>
      </c>
      <c r="M22" s="69" t="s">
        <v>82</v>
      </c>
      <c r="N22" s="4">
        <v>3223</v>
      </c>
      <c r="O22" s="8">
        <f>N22/N25</f>
        <v>0.48825935464323589</v>
      </c>
      <c r="Q22" s="1"/>
      <c r="R22" s="1"/>
      <c r="T22" s="5"/>
    </row>
    <row r="23" spans="2:20">
      <c r="B23" s="80">
        <v>2017</v>
      </c>
      <c r="C23" s="69" t="s">
        <v>83</v>
      </c>
      <c r="D23" s="69">
        <v>79</v>
      </c>
      <c r="E23" s="47">
        <v>0.06</v>
      </c>
      <c r="G23" s="1"/>
      <c r="H23" s="1"/>
      <c r="I23" s="1"/>
      <c r="J23" s="73"/>
      <c r="L23" s="76">
        <v>2017</v>
      </c>
      <c r="M23" s="69" t="s">
        <v>83</v>
      </c>
      <c r="N23" s="4">
        <v>355</v>
      </c>
      <c r="O23" s="8">
        <f>N23/N25</f>
        <v>5.3779730343887291E-2</v>
      </c>
      <c r="Q23" s="1"/>
      <c r="R23" s="1"/>
      <c r="T23" s="5"/>
    </row>
    <row r="24" spans="2:20">
      <c r="B24" s="80">
        <v>2017</v>
      </c>
      <c r="C24" s="69" t="s">
        <v>84</v>
      </c>
      <c r="D24" s="69">
        <v>347</v>
      </c>
      <c r="E24" s="47">
        <v>0.26</v>
      </c>
      <c r="G24" s="1"/>
      <c r="H24" s="1"/>
      <c r="I24" s="1"/>
      <c r="J24" s="73"/>
      <c r="L24" s="76">
        <v>2017</v>
      </c>
      <c r="M24" s="69" t="s">
        <v>84</v>
      </c>
      <c r="N24" s="4">
        <v>840</v>
      </c>
      <c r="O24" s="8">
        <f>N24/N25</f>
        <v>0.12725344644750794</v>
      </c>
      <c r="Q24" s="1"/>
      <c r="R24" s="1"/>
      <c r="T24" s="5"/>
    </row>
    <row r="25" spans="2:20">
      <c r="B25" s="123" t="s">
        <v>1083</v>
      </c>
      <c r="C25" s="123"/>
      <c r="D25" s="69">
        <v>1316</v>
      </c>
      <c r="E25" s="8">
        <f>SUM(E19:E24)</f>
        <v>1.002</v>
      </c>
      <c r="G25" s="1"/>
      <c r="H25" s="1"/>
      <c r="I25" s="1"/>
      <c r="J25" s="73"/>
      <c r="L25" s="123" t="s">
        <v>1083</v>
      </c>
      <c r="M25" s="123"/>
      <c r="N25" s="4">
        <v>6601</v>
      </c>
      <c r="O25" s="8">
        <f>SUM(O19:O24)</f>
        <v>0.99999999999999989</v>
      </c>
      <c r="Q25" s="1"/>
      <c r="R25" s="1"/>
      <c r="T25" s="5"/>
    </row>
    <row r="26" spans="2:20">
      <c r="B26" s="133"/>
      <c r="C26" s="133"/>
      <c r="D26" s="1"/>
      <c r="E26" s="5"/>
      <c r="G26" s="1"/>
      <c r="H26" s="1"/>
      <c r="I26" s="1"/>
      <c r="J26" s="73"/>
    </row>
    <row r="27" spans="2:20" ht="17.25">
      <c r="B27" s="132"/>
      <c r="C27" s="132"/>
      <c r="D27" s="132"/>
      <c r="E27" s="132"/>
      <c r="G27" s="75"/>
      <c r="H27" s="75"/>
      <c r="I27" s="75"/>
      <c r="J27" s="75"/>
      <c r="L27" s="132"/>
      <c r="M27" s="132"/>
      <c r="N27" s="132"/>
      <c r="O27" s="132"/>
      <c r="Q27" s="134"/>
      <c r="R27" s="134"/>
      <c r="S27" s="134"/>
      <c r="T27" s="134"/>
    </row>
    <row r="28" spans="2:20" ht="17.25">
      <c r="B28" s="124" t="s">
        <v>120</v>
      </c>
      <c r="C28" s="124"/>
      <c r="D28" s="124"/>
      <c r="E28" s="124"/>
      <c r="G28" s="122" t="s">
        <v>121</v>
      </c>
      <c r="H28" s="122"/>
      <c r="I28" s="122"/>
      <c r="J28" s="122"/>
      <c r="L28" s="124" t="s">
        <v>124</v>
      </c>
      <c r="M28" s="124"/>
      <c r="N28" s="124"/>
      <c r="O28" s="124"/>
      <c r="Q28" s="122" t="s">
        <v>127</v>
      </c>
      <c r="R28" s="122"/>
      <c r="S28" s="122"/>
      <c r="T28" s="122"/>
    </row>
    <row r="29" spans="2:20">
      <c r="B29" s="49" t="s">
        <v>78</v>
      </c>
      <c r="C29" s="49" t="s">
        <v>77</v>
      </c>
      <c r="D29" s="49" t="s">
        <v>75</v>
      </c>
      <c r="E29" s="49" t="s">
        <v>76</v>
      </c>
      <c r="G29" s="9" t="s">
        <v>32</v>
      </c>
      <c r="H29" s="9" t="s">
        <v>33</v>
      </c>
      <c r="I29" s="9" t="s">
        <v>34</v>
      </c>
      <c r="J29" s="9" t="s">
        <v>35</v>
      </c>
      <c r="L29" s="50" t="s">
        <v>78</v>
      </c>
      <c r="M29" s="50" t="s">
        <v>77</v>
      </c>
      <c r="N29" s="50" t="s">
        <v>75</v>
      </c>
      <c r="O29" s="50" t="s">
        <v>76</v>
      </c>
      <c r="Q29" s="9" t="s">
        <v>32</v>
      </c>
      <c r="R29" s="9" t="s">
        <v>33</v>
      </c>
      <c r="S29" s="9" t="s">
        <v>34</v>
      </c>
      <c r="T29" s="9" t="s">
        <v>35</v>
      </c>
    </row>
    <row r="30" spans="2:20">
      <c r="B30" s="70">
        <v>2015</v>
      </c>
      <c r="C30" s="69" t="s">
        <v>50</v>
      </c>
      <c r="D30" s="4">
        <v>267</v>
      </c>
      <c r="E30" s="8">
        <f>D30/D36</f>
        <v>4.5093734166525921E-2</v>
      </c>
      <c r="G30" s="42" t="s">
        <v>49</v>
      </c>
      <c r="H30" s="8">
        <f>D31/D36</f>
        <v>0.32207397399087989</v>
      </c>
      <c r="I30" s="8">
        <v>0.3</v>
      </c>
      <c r="J30" s="8">
        <v>0.28000000000000003</v>
      </c>
      <c r="L30" s="70">
        <v>2015</v>
      </c>
      <c r="M30" s="69" t="s">
        <v>50</v>
      </c>
      <c r="N30" s="4">
        <v>82</v>
      </c>
      <c r="O30" s="8">
        <f>N30/N36</f>
        <v>5.3420195439739415E-2</v>
      </c>
      <c r="Q30" s="42" t="s">
        <v>49</v>
      </c>
      <c r="R30" s="8">
        <f>O31</f>
        <v>0.29315960912052119</v>
      </c>
      <c r="S30" s="8">
        <f>O38</f>
        <v>0.29872340425531912</v>
      </c>
      <c r="T30" s="8">
        <f>O45</f>
        <v>0.26784343821949347</v>
      </c>
    </row>
    <row r="31" spans="2:20">
      <c r="B31" s="70">
        <v>2015</v>
      </c>
      <c r="C31" s="69" t="s">
        <v>80</v>
      </c>
      <c r="D31" s="4">
        <v>1907</v>
      </c>
      <c r="E31" s="8">
        <f>D31/D36</f>
        <v>0.32207397399087989</v>
      </c>
      <c r="G31" s="42" t="s">
        <v>47</v>
      </c>
      <c r="H31" s="8">
        <f>D33/D36</f>
        <v>0.41057253842256375</v>
      </c>
      <c r="I31" s="8">
        <v>0.42</v>
      </c>
      <c r="J31" s="8">
        <v>0.44</v>
      </c>
      <c r="L31" s="70">
        <v>2015</v>
      </c>
      <c r="M31" s="69" t="s">
        <v>80</v>
      </c>
      <c r="N31" s="4">
        <v>450</v>
      </c>
      <c r="O31" s="8">
        <f>N31/N36</f>
        <v>0.29315960912052119</v>
      </c>
      <c r="Q31" s="42" t="s">
        <v>47</v>
      </c>
      <c r="R31" s="8">
        <f>O33</f>
        <v>0.44625407166123776</v>
      </c>
      <c r="S31" s="8">
        <f>O40</f>
        <v>0.43319148936170215</v>
      </c>
      <c r="T31" s="8">
        <f>O47</f>
        <v>0.45433614735226402</v>
      </c>
    </row>
    <row r="32" spans="2:20">
      <c r="B32" s="70">
        <v>2015</v>
      </c>
      <c r="C32" s="69" t="s">
        <v>52</v>
      </c>
      <c r="D32" s="4">
        <v>222</v>
      </c>
      <c r="E32" s="8">
        <f>D32/D36</f>
        <v>3.7493666610369868E-2</v>
      </c>
      <c r="G32" s="42" t="s">
        <v>50</v>
      </c>
      <c r="H32" s="8">
        <f>D30/D36</f>
        <v>4.5093734166525921E-2</v>
      </c>
      <c r="I32" s="8">
        <v>0.04</v>
      </c>
      <c r="J32" s="8">
        <v>0.03</v>
      </c>
      <c r="L32" s="70">
        <v>2015</v>
      </c>
      <c r="M32" s="69" t="s">
        <v>52</v>
      </c>
      <c r="N32" s="4">
        <v>80</v>
      </c>
      <c r="O32" s="8">
        <f>N32/N36</f>
        <v>5.2117263843648211E-2</v>
      </c>
      <c r="Q32" s="42" t="s">
        <v>50</v>
      </c>
      <c r="R32" s="8">
        <f>O30</f>
        <v>5.3420195439739415E-2</v>
      </c>
      <c r="S32" s="8">
        <f>O37</f>
        <v>4.425531914893617E-2</v>
      </c>
      <c r="T32" s="8">
        <f>O44</f>
        <v>5.6024558710667687E-2</v>
      </c>
    </row>
    <row r="33" spans="2:20">
      <c r="B33" s="70">
        <v>2015</v>
      </c>
      <c r="C33" s="69" t="s">
        <v>82</v>
      </c>
      <c r="D33" s="4">
        <v>2431</v>
      </c>
      <c r="E33" s="8">
        <f>D33/D36</f>
        <v>0.41057253842256375</v>
      </c>
      <c r="G33" s="42" t="s">
        <v>48</v>
      </c>
      <c r="H33" s="8">
        <f>D34/D36</f>
        <v>5.5227157574733995E-2</v>
      </c>
      <c r="I33" s="8">
        <v>0.05</v>
      </c>
      <c r="J33" s="8">
        <v>0.05</v>
      </c>
      <c r="L33" s="70">
        <v>2015</v>
      </c>
      <c r="M33" s="69" t="s">
        <v>82</v>
      </c>
      <c r="N33" s="4">
        <v>685</v>
      </c>
      <c r="O33" s="8">
        <f>N33/N36</f>
        <v>0.44625407166123776</v>
      </c>
      <c r="Q33" s="42" t="s">
        <v>48</v>
      </c>
      <c r="R33" s="8">
        <f>O34</f>
        <v>5.7328990228013028E-2</v>
      </c>
      <c r="S33" s="8">
        <f>O41</f>
        <v>5.5744680851063828E-2</v>
      </c>
      <c r="T33" s="8">
        <f>O48</f>
        <v>5.372217958557176E-2</v>
      </c>
    </row>
    <row r="34" spans="2:20">
      <c r="B34" s="70">
        <v>2015</v>
      </c>
      <c r="C34" s="69" t="s">
        <v>83</v>
      </c>
      <c r="D34" s="4">
        <v>327</v>
      </c>
      <c r="E34" s="8">
        <f>D34/D36</f>
        <v>5.5227157574733995E-2</v>
      </c>
      <c r="G34" s="42" t="s">
        <v>51</v>
      </c>
      <c r="H34" s="8">
        <f>D35/D36</f>
        <v>0.12953892923492652</v>
      </c>
      <c r="I34" s="8">
        <v>0.16</v>
      </c>
      <c r="J34" s="8">
        <v>0.17</v>
      </c>
      <c r="L34" s="70">
        <v>2015</v>
      </c>
      <c r="M34" s="69" t="s">
        <v>83</v>
      </c>
      <c r="N34" s="4">
        <v>88</v>
      </c>
      <c r="O34" s="8">
        <f>N34/N36</f>
        <v>5.7328990228013028E-2</v>
      </c>
      <c r="Q34" s="42" t="s">
        <v>51</v>
      </c>
      <c r="R34" s="8">
        <f>O35</f>
        <v>9.7719869706840393E-2</v>
      </c>
      <c r="S34" s="8">
        <f>O42</f>
        <v>0.11787234042553192</v>
      </c>
      <c r="T34" s="8">
        <f>O49</f>
        <v>0.1343054489639294</v>
      </c>
    </row>
    <row r="35" spans="2:20">
      <c r="B35" s="70">
        <v>2015</v>
      </c>
      <c r="C35" s="69" t="s">
        <v>51</v>
      </c>
      <c r="D35" s="4">
        <v>767</v>
      </c>
      <c r="E35" s="8">
        <f>D35/D36</f>
        <v>0.12953892923492652</v>
      </c>
      <c r="G35" s="42" t="s">
        <v>52</v>
      </c>
      <c r="H35" s="8">
        <f>D32/D36</f>
        <v>3.7493666610369868E-2</v>
      </c>
      <c r="I35" s="8">
        <v>0.04</v>
      </c>
      <c r="J35" s="8">
        <v>0.04</v>
      </c>
      <c r="L35" s="70">
        <v>2015</v>
      </c>
      <c r="M35" s="69" t="s">
        <v>51</v>
      </c>
      <c r="N35" s="4">
        <v>150</v>
      </c>
      <c r="O35" s="8">
        <f>N35/N36</f>
        <v>9.7719869706840393E-2</v>
      </c>
      <c r="Q35" s="42" t="s">
        <v>52</v>
      </c>
      <c r="R35" s="8">
        <f>O32</f>
        <v>5.2117263843648211E-2</v>
      </c>
      <c r="S35" s="8">
        <f>O39</f>
        <v>5.0212765957446809E-2</v>
      </c>
      <c r="T35" s="8">
        <f>O46</f>
        <v>3.3768227168073678E-2</v>
      </c>
    </row>
    <row r="36" spans="2:20">
      <c r="B36" s="123" t="s">
        <v>1083</v>
      </c>
      <c r="C36" s="123"/>
      <c r="D36" s="4">
        <v>5921</v>
      </c>
      <c r="E36" s="8">
        <f>SUM(E30:E35)</f>
        <v>0.99999999999999989</v>
      </c>
      <c r="G36" s="12" t="s">
        <v>23</v>
      </c>
      <c r="H36" s="19">
        <f>SUM(H30:H35)</f>
        <v>0.99999999999999989</v>
      </c>
      <c r="I36" s="19">
        <v>1</v>
      </c>
      <c r="J36" s="19">
        <v>1</v>
      </c>
      <c r="L36" s="123" t="s">
        <v>1083</v>
      </c>
      <c r="M36" s="123"/>
      <c r="N36" s="4">
        <v>1535</v>
      </c>
      <c r="O36" s="8">
        <f>SUM(O30:O35)</f>
        <v>1</v>
      </c>
      <c r="Q36" s="12" t="s">
        <v>23</v>
      </c>
      <c r="R36" s="19">
        <f>O36</f>
        <v>1</v>
      </c>
      <c r="S36" s="19">
        <f>O43</f>
        <v>1</v>
      </c>
      <c r="T36" s="19">
        <f>O50</f>
        <v>1</v>
      </c>
    </row>
    <row r="37" spans="2:20" ht="17.25">
      <c r="B37" s="83">
        <v>2016</v>
      </c>
      <c r="C37" s="69" t="s">
        <v>50</v>
      </c>
      <c r="D37" s="4">
        <v>289</v>
      </c>
      <c r="E37" s="8">
        <f>D37/D43</f>
        <v>3.757638798595761E-2</v>
      </c>
      <c r="G37" s="132"/>
      <c r="H37" s="132"/>
      <c r="I37" s="132"/>
      <c r="J37" s="132"/>
      <c r="L37" s="83">
        <v>2016</v>
      </c>
      <c r="M37" s="69" t="s">
        <v>50</v>
      </c>
      <c r="N37" s="4">
        <v>104</v>
      </c>
      <c r="O37" s="8">
        <f>N37/N43</f>
        <v>4.425531914893617E-2</v>
      </c>
    </row>
    <row r="38" spans="2:20">
      <c r="B38" s="83">
        <v>2016</v>
      </c>
      <c r="C38" s="69" t="s">
        <v>80</v>
      </c>
      <c r="D38" s="4">
        <v>2277</v>
      </c>
      <c r="E38" s="8">
        <f>D38/D43</f>
        <v>0.29606033025614353</v>
      </c>
      <c r="G38" s="39"/>
      <c r="H38" s="39"/>
      <c r="I38" s="39"/>
      <c r="J38" s="39"/>
      <c r="L38" s="83">
        <v>2016</v>
      </c>
      <c r="M38" s="69" t="s">
        <v>80</v>
      </c>
      <c r="N38" s="4">
        <v>702</v>
      </c>
      <c r="O38" s="8">
        <f>N38/N43</f>
        <v>0.29872340425531912</v>
      </c>
    </row>
    <row r="39" spans="2:20">
      <c r="B39" s="83">
        <v>2016</v>
      </c>
      <c r="C39" s="69" t="s">
        <v>52</v>
      </c>
      <c r="D39" s="4">
        <v>302</v>
      </c>
      <c r="E39" s="8">
        <f>D39/D43</f>
        <v>3.9266675334806919E-2</v>
      </c>
      <c r="G39" s="40"/>
      <c r="H39" s="48"/>
      <c r="I39" s="48"/>
      <c r="J39" s="48"/>
      <c r="L39" s="83">
        <v>2016</v>
      </c>
      <c r="M39" s="69" t="s">
        <v>52</v>
      </c>
      <c r="N39" s="4">
        <v>118</v>
      </c>
      <c r="O39" s="8">
        <f>N39/N43</f>
        <v>5.0212765957446809E-2</v>
      </c>
    </row>
    <row r="40" spans="2:20">
      <c r="B40" s="83">
        <v>2016</v>
      </c>
      <c r="C40" s="69" t="s">
        <v>82</v>
      </c>
      <c r="D40" s="4">
        <v>3211</v>
      </c>
      <c r="E40" s="8">
        <f>D40/D43</f>
        <v>0.41750097516577817</v>
      </c>
      <c r="G40" s="40"/>
      <c r="H40" s="48"/>
      <c r="I40" s="48"/>
      <c r="J40" s="48"/>
      <c r="L40" s="83">
        <v>2016</v>
      </c>
      <c r="M40" s="69" t="s">
        <v>82</v>
      </c>
      <c r="N40" s="4">
        <v>1018</v>
      </c>
      <c r="O40" s="8">
        <f>N40/N43</f>
        <v>0.43319148936170215</v>
      </c>
    </row>
    <row r="41" spans="2:20">
      <c r="B41" s="83">
        <v>2016</v>
      </c>
      <c r="C41" s="69" t="s">
        <v>83</v>
      </c>
      <c r="D41" s="4">
        <v>419</v>
      </c>
      <c r="E41" s="8">
        <f>D41/D43</f>
        <v>5.4479261474450653E-2</v>
      </c>
      <c r="G41" s="40"/>
      <c r="H41" s="48"/>
      <c r="I41" s="48"/>
      <c r="J41" s="48"/>
      <c r="L41" s="83">
        <v>2016</v>
      </c>
      <c r="M41" s="69" t="s">
        <v>83</v>
      </c>
      <c r="N41" s="4">
        <v>131</v>
      </c>
      <c r="O41" s="8">
        <f>N41/N43</f>
        <v>5.5744680851063828E-2</v>
      </c>
    </row>
    <row r="42" spans="2:20">
      <c r="B42" s="83">
        <v>2016</v>
      </c>
      <c r="C42" s="69" t="s">
        <v>51</v>
      </c>
      <c r="D42" s="4">
        <v>1193</v>
      </c>
      <c r="E42" s="8">
        <f>D42/D43</f>
        <v>0.15511636978286308</v>
      </c>
      <c r="G42" s="40"/>
      <c r="H42" s="48"/>
      <c r="I42" s="48"/>
      <c r="J42" s="48"/>
      <c r="L42" s="83">
        <v>2016</v>
      </c>
      <c r="M42" s="69" t="s">
        <v>51</v>
      </c>
      <c r="N42" s="4">
        <v>277</v>
      </c>
      <c r="O42" s="8">
        <f>N42/N43</f>
        <v>0.11787234042553192</v>
      </c>
    </row>
    <row r="43" spans="2:20">
      <c r="B43" s="123" t="s">
        <v>1083</v>
      </c>
      <c r="C43" s="123"/>
      <c r="D43" s="4">
        <v>7691</v>
      </c>
      <c r="E43" s="8">
        <f>SUM(E37:E42)</f>
        <v>1</v>
      </c>
      <c r="G43" s="40"/>
      <c r="H43" s="48"/>
      <c r="I43" s="48"/>
      <c r="J43" s="48"/>
      <c r="L43" s="123" t="s">
        <v>1083</v>
      </c>
      <c r="M43" s="123"/>
      <c r="N43" s="4">
        <v>2350</v>
      </c>
      <c r="O43" s="8">
        <f>SUM(O37:O42)</f>
        <v>1</v>
      </c>
    </row>
    <row r="44" spans="2:20">
      <c r="B44" s="76">
        <v>2017</v>
      </c>
      <c r="C44" s="69" t="s">
        <v>50</v>
      </c>
      <c r="D44" s="4">
        <v>346</v>
      </c>
      <c r="E44" s="8">
        <f>D44/D50</f>
        <v>2.5815116018801761E-2</v>
      </c>
      <c r="G44" s="40"/>
      <c r="H44" s="48"/>
      <c r="I44" s="48"/>
      <c r="J44" s="48"/>
      <c r="L44" s="76">
        <v>2017</v>
      </c>
      <c r="M44" s="69" t="s">
        <v>50</v>
      </c>
      <c r="N44" s="4">
        <v>73</v>
      </c>
      <c r="O44" s="8">
        <f>N44/N50</f>
        <v>5.6024558710667687E-2</v>
      </c>
    </row>
    <row r="45" spans="2:20">
      <c r="B45" s="76">
        <v>2017</v>
      </c>
      <c r="C45" s="69" t="s">
        <v>80</v>
      </c>
      <c r="D45" s="4">
        <v>3782</v>
      </c>
      <c r="E45" s="8">
        <f>D45/D50</f>
        <v>0.28217563232112214</v>
      </c>
      <c r="G45" s="40"/>
      <c r="H45" s="74"/>
      <c r="I45" s="74"/>
      <c r="J45" s="74"/>
      <c r="L45" s="76">
        <v>2017</v>
      </c>
      <c r="M45" s="69" t="s">
        <v>80</v>
      </c>
      <c r="N45" s="4">
        <v>349</v>
      </c>
      <c r="O45" s="8">
        <f>N45/N50</f>
        <v>0.26784343821949347</v>
      </c>
    </row>
    <row r="46" spans="2:20">
      <c r="B46" s="76">
        <v>2017</v>
      </c>
      <c r="C46" s="69" t="s">
        <v>52</v>
      </c>
      <c r="D46" s="4">
        <v>470</v>
      </c>
      <c r="E46" s="8">
        <f>D46/D50</f>
        <v>3.5066776094904127E-2</v>
      </c>
      <c r="L46" s="76">
        <v>2017</v>
      </c>
      <c r="M46" s="69" t="s">
        <v>52</v>
      </c>
      <c r="N46" s="4">
        <v>44</v>
      </c>
      <c r="O46" s="8">
        <f>N46/N50</f>
        <v>3.3768227168073678E-2</v>
      </c>
    </row>
    <row r="47" spans="2:20">
      <c r="B47" s="76">
        <v>2017</v>
      </c>
      <c r="C47" s="69" t="s">
        <v>82</v>
      </c>
      <c r="D47" s="4">
        <v>5921</v>
      </c>
      <c r="E47" s="8">
        <f>D47/D50</f>
        <v>0.44176676863388792</v>
      </c>
      <c r="L47" s="76">
        <v>2017</v>
      </c>
      <c r="M47" s="69" t="s">
        <v>82</v>
      </c>
      <c r="N47" s="4">
        <v>592</v>
      </c>
      <c r="O47" s="8">
        <f>N47/N50</f>
        <v>0.45433614735226402</v>
      </c>
    </row>
    <row r="48" spans="2:20">
      <c r="B48" s="76">
        <v>2017</v>
      </c>
      <c r="C48" s="69" t="s">
        <v>83</v>
      </c>
      <c r="D48" s="4">
        <v>622</v>
      </c>
      <c r="E48" s="8">
        <f>D48/D50</f>
        <v>4.6407520704319929E-2</v>
      </c>
      <c r="L48" s="76">
        <v>2017</v>
      </c>
      <c r="M48" s="69" t="s">
        <v>83</v>
      </c>
      <c r="N48" s="4">
        <v>70</v>
      </c>
      <c r="O48" s="8">
        <f>N48/N50</f>
        <v>5.372217958557176E-2</v>
      </c>
    </row>
    <row r="49" spans="2:15">
      <c r="B49" s="76">
        <v>2017</v>
      </c>
      <c r="C49" s="69" t="s">
        <v>51</v>
      </c>
      <c r="D49" s="4">
        <v>2262</v>
      </c>
      <c r="E49" s="8">
        <f>D49/D50</f>
        <v>0.1687681862269641</v>
      </c>
      <c r="L49" s="76">
        <v>2017</v>
      </c>
      <c r="M49" s="69" t="s">
        <v>51</v>
      </c>
      <c r="N49" s="4">
        <v>175</v>
      </c>
      <c r="O49" s="8">
        <f>N49/N50</f>
        <v>0.1343054489639294</v>
      </c>
    </row>
    <row r="50" spans="2:15">
      <c r="B50" s="123" t="s">
        <v>1083</v>
      </c>
      <c r="C50" s="123"/>
      <c r="D50" s="4">
        <v>13403</v>
      </c>
      <c r="E50" s="8">
        <f>SUM(E44:E49)</f>
        <v>1</v>
      </c>
      <c r="L50" s="123" t="s">
        <v>1083</v>
      </c>
      <c r="M50" s="123"/>
      <c r="N50" s="4">
        <v>1303</v>
      </c>
      <c r="O50" s="8">
        <f>SUM(O44:O49)</f>
        <v>1</v>
      </c>
    </row>
    <row r="51" spans="2:15">
      <c r="E51" s="5"/>
      <c r="L51" s="125"/>
      <c r="M51" s="125"/>
    </row>
    <row r="52" spans="2:15">
      <c r="B52" s="30"/>
      <c r="C52" s="30"/>
      <c r="D52" s="30"/>
      <c r="E52" s="48"/>
    </row>
    <row r="53" spans="2:15">
      <c r="B53" s="30"/>
      <c r="C53" s="30"/>
      <c r="D53" s="30"/>
      <c r="E53" s="48"/>
    </row>
    <row r="54" spans="2:15">
      <c r="B54" s="30"/>
      <c r="C54" s="30"/>
      <c r="D54" s="30"/>
      <c r="E54" s="48"/>
    </row>
    <row r="55" spans="2:15">
      <c r="B55" s="104" t="s">
        <v>1085</v>
      </c>
      <c r="C55" s="104"/>
      <c r="D55" s="104"/>
      <c r="E55" s="104"/>
      <c r="F55" s="104"/>
      <c r="G55" s="104"/>
      <c r="H55" s="104"/>
      <c r="I55" s="104"/>
      <c r="J55" s="104"/>
    </row>
    <row r="56" spans="2:15" ht="16.5" customHeight="1">
      <c r="B56" s="126" t="s">
        <v>1084</v>
      </c>
      <c r="C56" s="127"/>
      <c r="D56" s="127"/>
      <c r="E56" s="127"/>
      <c r="F56" s="127"/>
      <c r="G56" s="127"/>
      <c r="H56" s="127"/>
      <c r="I56" s="127"/>
      <c r="J56" s="128"/>
      <c r="K56" s="84"/>
      <c r="L56" s="84"/>
      <c r="M56" s="84"/>
      <c r="N56" s="84"/>
      <c r="O56" s="62"/>
    </row>
    <row r="57" spans="2:15">
      <c r="B57" s="129"/>
      <c r="C57" s="130"/>
      <c r="D57" s="130"/>
      <c r="E57" s="130"/>
      <c r="F57" s="130"/>
      <c r="G57" s="130"/>
      <c r="H57" s="130"/>
      <c r="I57" s="130"/>
      <c r="J57" s="131"/>
      <c r="K57" s="84"/>
      <c r="L57" s="84"/>
      <c r="M57" s="84"/>
      <c r="N57" s="84"/>
      <c r="O57" s="62"/>
    </row>
    <row r="58" spans="2:15">
      <c r="B58" s="129"/>
      <c r="C58" s="130"/>
      <c r="D58" s="130"/>
      <c r="E58" s="130"/>
      <c r="F58" s="130"/>
      <c r="G58" s="130"/>
      <c r="H58" s="130"/>
      <c r="I58" s="130"/>
      <c r="J58" s="131"/>
      <c r="K58" s="84"/>
      <c r="L58" s="84"/>
      <c r="M58" s="84"/>
      <c r="N58" s="84"/>
      <c r="O58" s="62"/>
    </row>
    <row r="59" spans="2:15">
      <c r="B59" s="129"/>
      <c r="C59" s="130"/>
      <c r="D59" s="130"/>
      <c r="E59" s="130"/>
      <c r="F59" s="130"/>
      <c r="G59" s="130"/>
      <c r="H59" s="130"/>
      <c r="I59" s="130"/>
      <c r="J59" s="131"/>
      <c r="K59" s="84"/>
      <c r="L59" s="84"/>
      <c r="M59" s="84"/>
      <c r="N59" s="84"/>
      <c r="O59" s="62"/>
    </row>
    <row r="60" spans="2:15">
      <c r="B60" s="129"/>
      <c r="C60" s="130"/>
      <c r="D60" s="130"/>
      <c r="E60" s="130"/>
      <c r="F60" s="130"/>
      <c r="G60" s="130"/>
      <c r="H60" s="130"/>
      <c r="I60" s="130"/>
      <c r="J60" s="131"/>
      <c r="K60" s="84"/>
      <c r="L60" s="84"/>
      <c r="M60" s="84"/>
      <c r="N60" s="84"/>
      <c r="O60" s="62"/>
    </row>
    <row r="61" spans="2:15">
      <c r="B61" s="129"/>
      <c r="C61" s="130"/>
      <c r="D61" s="130"/>
      <c r="E61" s="130"/>
      <c r="F61" s="130"/>
      <c r="G61" s="130"/>
      <c r="H61" s="130"/>
      <c r="I61" s="130"/>
      <c r="J61" s="131"/>
      <c r="K61" s="84"/>
      <c r="L61" s="84"/>
      <c r="M61" s="84"/>
      <c r="N61" s="84"/>
      <c r="O61" s="62"/>
    </row>
    <row r="62" spans="2:15">
      <c r="B62" s="129"/>
      <c r="C62" s="130"/>
      <c r="D62" s="130"/>
      <c r="E62" s="130"/>
      <c r="F62" s="130"/>
      <c r="G62" s="130"/>
      <c r="H62" s="130"/>
      <c r="I62" s="130"/>
      <c r="J62" s="131"/>
      <c r="K62" s="84"/>
      <c r="L62" s="84"/>
      <c r="M62" s="84"/>
      <c r="N62" s="84"/>
      <c r="O62" s="62"/>
    </row>
    <row r="63" spans="2:15">
      <c r="B63" s="129"/>
      <c r="C63" s="130"/>
      <c r="D63" s="130"/>
      <c r="E63" s="130"/>
      <c r="F63" s="130"/>
      <c r="G63" s="130"/>
      <c r="H63" s="130"/>
      <c r="I63" s="130"/>
      <c r="J63" s="131"/>
      <c r="K63" s="84"/>
      <c r="L63" s="84"/>
      <c r="M63" s="84"/>
      <c r="N63" s="84"/>
      <c r="O63" s="62"/>
    </row>
    <row r="64" spans="2:15">
      <c r="B64" s="129"/>
      <c r="C64" s="130"/>
      <c r="D64" s="130"/>
      <c r="E64" s="130"/>
      <c r="F64" s="130"/>
      <c r="G64" s="130"/>
      <c r="H64" s="130"/>
      <c r="I64" s="130"/>
      <c r="J64" s="131"/>
      <c r="K64" s="84"/>
      <c r="L64" s="84"/>
      <c r="M64" s="84"/>
      <c r="N64" s="84"/>
      <c r="O64" s="62"/>
    </row>
    <row r="65" spans="2:15">
      <c r="B65" s="129"/>
      <c r="C65" s="130"/>
      <c r="D65" s="130"/>
      <c r="E65" s="130"/>
      <c r="F65" s="130"/>
      <c r="G65" s="130"/>
      <c r="H65" s="130"/>
      <c r="I65" s="130"/>
      <c r="J65" s="131"/>
      <c r="K65" s="84"/>
      <c r="L65" s="84"/>
      <c r="M65" s="84"/>
      <c r="N65" s="84"/>
      <c r="O65" s="62"/>
    </row>
    <row r="66" spans="2:15">
      <c r="B66" s="129"/>
      <c r="C66" s="130"/>
      <c r="D66" s="130"/>
      <c r="E66" s="130"/>
      <c r="F66" s="130"/>
      <c r="G66" s="130"/>
      <c r="H66" s="130"/>
      <c r="I66" s="130"/>
      <c r="J66" s="131"/>
      <c r="K66" s="84"/>
      <c r="L66" s="84"/>
      <c r="M66" s="84"/>
      <c r="N66" s="84"/>
      <c r="O66" s="62"/>
    </row>
    <row r="67" spans="2:15">
      <c r="B67" s="129"/>
      <c r="C67" s="130"/>
      <c r="D67" s="130"/>
      <c r="E67" s="130"/>
      <c r="F67" s="130"/>
      <c r="G67" s="130"/>
      <c r="H67" s="130"/>
      <c r="I67" s="130"/>
      <c r="J67" s="131"/>
      <c r="K67" s="84"/>
      <c r="L67" s="84"/>
      <c r="M67" s="84"/>
      <c r="N67" s="84"/>
      <c r="O67" s="62"/>
    </row>
    <row r="68" spans="2:15">
      <c r="B68" s="129"/>
      <c r="C68" s="130"/>
      <c r="D68" s="130"/>
      <c r="E68" s="130"/>
      <c r="F68" s="130"/>
      <c r="G68" s="130"/>
      <c r="H68" s="130"/>
      <c r="I68" s="130"/>
      <c r="J68" s="131"/>
      <c r="K68" s="84"/>
      <c r="L68" s="84"/>
      <c r="M68" s="84"/>
      <c r="N68" s="84"/>
      <c r="O68" s="62"/>
    </row>
    <row r="69" spans="2:15">
      <c r="B69" s="129"/>
      <c r="C69" s="130"/>
      <c r="D69" s="130"/>
      <c r="E69" s="130"/>
      <c r="F69" s="130"/>
      <c r="G69" s="130"/>
      <c r="H69" s="130"/>
      <c r="I69" s="130"/>
      <c r="J69" s="131"/>
      <c r="K69" s="84"/>
      <c r="L69" s="84"/>
      <c r="M69" s="84"/>
      <c r="N69" s="84"/>
      <c r="O69" s="62"/>
    </row>
    <row r="70" spans="2:15">
      <c r="B70" s="129"/>
      <c r="C70" s="130"/>
      <c r="D70" s="130"/>
      <c r="E70" s="130"/>
      <c r="F70" s="130"/>
      <c r="G70" s="130"/>
      <c r="H70" s="130"/>
      <c r="I70" s="130"/>
      <c r="J70" s="131"/>
      <c r="K70" s="84"/>
      <c r="L70" s="84"/>
      <c r="M70" s="84"/>
      <c r="N70" s="84"/>
      <c r="O70" s="62"/>
    </row>
    <row r="71" spans="2:15">
      <c r="B71" s="129"/>
      <c r="C71" s="130"/>
      <c r="D71" s="130"/>
      <c r="E71" s="130"/>
      <c r="F71" s="130"/>
      <c r="G71" s="130"/>
      <c r="H71" s="130"/>
      <c r="I71" s="130"/>
      <c r="J71" s="131"/>
      <c r="K71" s="84"/>
      <c r="L71" s="84"/>
      <c r="M71" s="84"/>
      <c r="N71" s="84"/>
      <c r="O71" s="62"/>
    </row>
    <row r="72" spans="2:15">
      <c r="B72" s="129"/>
      <c r="C72" s="130"/>
      <c r="D72" s="130"/>
      <c r="E72" s="130"/>
      <c r="F72" s="130"/>
      <c r="G72" s="130"/>
      <c r="H72" s="130"/>
      <c r="I72" s="130"/>
      <c r="J72" s="131"/>
      <c r="K72" s="84"/>
      <c r="L72" s="84"/>
      <c r="M72" s="84"/>
      <c r="N72" s="84"/>
      <c r="O72" s="62"/>
    </row>
    <row r="73" spans="2:15">
      <c r="B73" s="129"/>
      <c r="C73" s="130"/>
      <c r="D73" s="130"/>
      <c r="E73" s="130"/>
      <c r="F73" s="130"/>
      <c r="G73" s="130"/>
      <c r="H73" s="130"/>
      <c r="I73" s="130"/>
      <c r="J73" s="131"/>
      <c r="K73" s="84"/>
      <c r="L73" s="84"/>
      <c r="M73" s="84"/>
      <c r="N73" s="84"/>
      <c r="O73" s="62"/>
    </row>
    <row r="74" spans="2:15">
      <c r="B74" s="129"/>
      <c r="C74" s="130"/>
      <c r="D74" s="130"/>
      <c r="E74" s="130"/>
      <c r="F74" s="130"/>
      <c r="G74" s="130"/>
      <c r="H74" s="130"/>
      <c r="I74" s="130"/>
      <c r="J74" s="131"/>
      <c r="K74" s="84"/>
      <c r="L74" s="84"/>
      <c r="M74" s="84"/>
      <c r="N74" s="84"/>
      <c r="O74" s="62"/>
    </row>
    <row r="75" spans="2:15">
      <c r="B75" s="129"/>
      <c r="C75" s="130"/>
      <c r="D75" s="130"/>
      <c r="E75" s="130"/>
      <c r="F75" s="130"/>
      <c r="G75" s="130"/>
      <c r="H75" s="130"/>
      <c r="I75" s="130"/>
      <c r="J75" s="131"/>
      <c r="K75" s="84"/>
      <c r="L75" s="84"/>
      <c r="M75" s="84"/>
      <c r="N75" s="84"/>
      <c r="O75" s="62"/>
    </row>
    <row r="76" spans="2:15">
      <c r="B76" s="129"/>
      <c r="C76" s="130"/>
      <c r="D76" s="130"/>
      <c r="E76" s="130"/>
      <c r="F76" s="130"/>
      <c r="G76" s="130"/>
      <c r="H76" s="130"/>
      <c r="I76" s="130"/>
      <c r="J76" s="131"/>
      <c r="K76" s="84"/>
      <c r="L76" s="84"/>
      <c r="M76" s="84"/>
      <c r="N76" s="84"/>
      <c r="O76" s="62"/>
    </row>
    <row r="77" spans="2:15">
      <c r="B77" s="129"/>
      <c r="C77" s="130"/>
      <c r="D77" s="130"/>
      <c r="E77" s="130"/>
      <c r="F77" s="130"/>
      <c r="G77" s="130"/>
      <c r="H77" s="130"/>
      <c r="I77" s="130"/>
      <c r="J77" s="131"/>
      <c r="K77" s="84"/>
      <c r="L77" s="84"/>
      <c r="M77" s="84"/>
      <c r="N77" s="84"/>
      <c r="O77" s="62"/>
    </row>
    <row r="78" spans="2:15">
      <c r="B78" s="129"/>
      <c r="C78" s="130"/>
      <c r="D78" s="130"/>
      <c r="E78" s="130"/>
      <c r="F78" s="130"/>
      <c r="G78" s="130"/>
      <c r="H78" s="130"/>
      <c r="I78" s="130"/>
      <c r="J78" s="131"/>
      <c r="K78" s="84"/>
      <c r="L78" s="84"/>
      <c r="M78" s="84"/>
      <c r="N78" s="84"/>
      <c r="O78" s="62"/>
    </row>
    <row r="79" spans="2:15">
      <c r="B79" s="129"/>
      <c r="C79" s="130"/>
      <c r="D79" s="130"/>
      <c r="E79" s="130"/>
      <c r="F79" s="130"/>
      <c r="G79" s="130"/>
      <c r="H79" s="130"/>
      <c r="I79" s="130"/>
      <c r="J79" s="131"/>
      <c r="K79" s="84"/>
      <c r="L79" s="84"/>
      <c r="M79" s="84"/>
      <c r="N79" s="84"/>
      <c r="O79" s="62"/>
    </row>
    <row r="80" spans="2:15">
      <c r="B80" s="129"/>
      <c r="C80" s="130"/>
      <c r="D80" s="130"/>
      <c r="E80" s="130"/>
      <c r="F80" s="130"/>
      <c r="G80" s="130"/>
      <c r="H80" s="130"/>
      <c r="I80" s="130"/>
      <c r="J80" s="131"/>
      <c r="K80" s="84"/>
      <c r="L80" s="84"/>
      <c r="M80" s="84"/>
      <c r="N80" s="84"/>
      <c r="O80" s="62"/>
    </row>
    <row r="81" spans="2:15">
      <c r="B81" s="129"/>
      <c r="C81" s="130"/>
      <c r="D81" s="130"/>
      <c r="E81" s="130"/>
      <c r="F81" s="130"/>
      <c r="G81" s="130"/>
      <c r="H81" s="130"/>
      <c r="I81" s="130"/>
      <c r="J81" s="131"/>
      <c r="K81" s="84"/>
      <c r="L81" s="84"/>
      <c r="M81" s="84"/>
      <c r="N81" s="84"/>
      <c r="O81" s="62"/>
    </row>
    <row r="82" spans="2:15">
      <c r="B82" s="129"/>
      <c r="C82" s="130"/>
      <c r="D82" s="130"/>
      <c r="E82" s="130"/>
      <c r="F82" s="130"/>
      <c r="G82" s="130"/>
      <c r="H82" s="130"/>
      <c r="I82" s="130"/>
      <c r="J82" s="131"/>
      <c r="K82" s="84"/>
      <c r="L82" s="84"/>
      <c r="M82" s="84"/>
      <c r="N82" s="84"/>
      <c r="O82" s="62"/>
    </row>
    <row r="83" spans="2:15">
      <c r="B83" s="129"/>
      <c r="C83" s="130"/>
      <c r="D83" s="130"/>
      <c r="E83" s="130"/>
      <c r="F83" s="130"/>
      <c r="G83" s="130"/>
      <c r="H83" s="130"/>
      <c r="I83" s="130"/>
      <c r="J83" s="131"/>
      <c r="K83" s="84"/>
      <c r="L83" s="84"/>
      <c r="M83" s="84"/>
      <c r="N83" s="84"/>
      <c r="O83" s="62"/>
    </row>
    <row r="84" spans="2:15">
      <c r="B84" s="129"/>
      <c r="C84" s="130"/>
      <c r="D84" s="130"/>
      <c r="E84" s="130"/>
      <c r="F84" s="130"/>
      <c r="G84" s="130"/>
      <c r="H84" s="130"/>
      <c r="I84" s="130"/>
      <c r="J84" s="131"/>
      <c r="K84" s="84"/>
      <c r="L84" s="84"/>
      <c r="M84" s="84"/>
      <c r="N84" s="84"/>
      <c r="O84" s="62"/>
    </row>
    <row r="85" spans="2:15">
      <c r="B85" s="129"/>
      <c r="C85" s="130"/>
      <c r="D85" s="130"/>
      <c r="E85" s="130"/>
      <c r="F85" s="130"/>
      <c r="G85" s="130"/>
      <c r="H85" s="130"/>
      <c r="I85" s="130"/>
      <c r="J85" s="131"/>
      <c r="K85" s="84"/>
      <c r="L85" s="84"/>
      <c r="M85" s="84"/>
      <c r="N85" s="84"/>
      <c r="O85" s="62"/>
    </row>
    <row r="86" spans="2:15">
      <c r="B86" s="129"/>
      <c r="C86" s="130"/>
      <c r="D86" s="130"/>
      <c r="E86" s="130"/>
      <c r="F86" s="130"/>
      <c r="G86" s="130"/>
      <c r="H86" s="130"/>
      <c r="I86" s="130"/>
      <c r="J86" s="131"/>
      <c r="K86" s="84"/>
      <c r="L86" s="84"/>
      <c r="M86" s="84"/>
      <c r="N86" s="84"/>
      <c r="O86" s="62"/>
    </row>
    <row r="87" spans="2:15">
      <c r="B87" s="129"/>
      <c r="C87" s="130"/>
      <c r="D87" s="130"/>
      <c r="E87" s="130"/>
      <c r="F87" s="130"/>
      <c r="G87" s="130"/>
      <c r="H87" s="130"/>
      <c r="I87" s="130"/>
      <c r="J87" s="131"/>
      <c r="K87" s="84"/>
      <c r="L87" s="84"/>
      <c r="M87" s="84"/>
      <c r="N87" s="84"/>
      <c r="O87" s="62"/>
    </row>
    <row r="88" spans="2:15">
      <c r="B88" s="129"/>
      <c r="C88" s="130"/>
      <c r="D88" s="130"/>
      <c r="E88" s="130"/>
      <c r="F88" s="130"/>
      <c r="G88" s="130"/>
      <c r="H88" s="130"/>
      <c r="I88" s="130"/>
      <c r="J88" s="131"/>
      <c r="K88" s="84"/>
      <c r="L88" s="84"/>
      <c r="M88" s="84"/>
      <c r="N88" s="84"/>
      <c r="O88" s="62"/>
    </row>
    <row r="89" spans="2:15">
      <c r="B89" s="129"/>
      <c r="C89" s="130"/>
      <c r="D89" s="130"/>
      <c r="E89" s="130"/>
      <c r="F89" s="130"/>
      <c r="G89" s="130"/>
      <c r="H89" s="130"/>
      <c r="I89" s="130"/>
      <c r="J89" s="131"/>
      <c r="K89" s="84"/>
      <c r="L89" s="84"/>
      <c r="M89" s="84"/>
      <c r="N89" s="84"/>
      <c r="O89" s="62"/>
    </row>
    <row r="90" spans="2:15">
      <c r="B90" s="129"/>
      <c r="C90" s="130"/>
      <c r="D90" s="130"/>
      <c r="E90" s="130"/>
      <c r="F90" s="130"/>
      <c r="G90" s="130"/>
      <c r="H90" s="130"/>
      <c r="I90" s="130"/>
      <c r="J90" s="131"/>
      <c r="K90" s="84"/>
      <c r="L90" s="84"/>
      <c r="M90" s="84"/>
      <c r="N90" s="84"/>
      <c r="O90" s="62"/>
    </row>
    <row r="91" spans="2:15">
      <c r="B91" s="129"/>
      <c r="C91" s="130"/>
      <c r="D91" s="130"/>
      <c r="E91" s="130"/>
      <c r="F91" s="130"/>
      <c r="G91" s="130"/>
      <c r="H91" s="130"/>
      <c r="I91" s="130"/>
      <c r="J91" s="131"/>
      <c r="K91" s="84"/>
      <c r="L91" s="84"/>
      <c r="M91" s="84"/>
      <c r="N91" s="84"/>
      <c r="O91" s="62"/>
    </row>
    <row r="92" spans="2:15">
      <c r="B92" s="129"/>
      <c r="C92" s="130"/>
      <c r="D92" s="130"/>
      <c r="E92" s="130"/>
      <c r="F92" s="130"/>
      <c r="G92" s="130"/>
      <c r="H92" s="130"/>
      <c r="I92" s="130"/>
      <c r="J92" s="131"/>
      <c r="K92" s="84"/>
      <c r="L92" s="84"/>
      <c r="M92" s="84"/>
      <c r="N92" s="84"/>
      <c r="O92" s="62"/>
    </row>
    <row r="93" spans="2:15">
      <c r="B93" s="129"/>
      <c r="C93" s="130"/>
      <c r="D93" s="130"/>
      <c r="E93" s="130"/>
      <c r="F93" s="130"/>
      <c r="G93" s="130"/>
      <c r="H93" s="130"/>
      <c r="I93" s="130"/>
      <c r="J93" s="131"/>
      <c r="K93" s="84"/>
      <c r="L93" s="84"/>
      <c r="M93" s="84"/>
      <c r="N93" s="84"/>
      <c r="O93" s="62"/>
    </row>
    <row r="94" spans="2:15">
      <c r="B94" s="129"/>
      <c r="C94" s="130"/>
      <c r="D94" s="130"/>
      <c r="E94" s="130"/>
      <c r="F94" s="130"/>
      <c r="G94" s="130"/>
      <c r="H94" s="130"/>
      <c r="I94" s="130"/>
      <c r="J94" s="131"/>
      <c r="K94" s="84"/>
      <c r="L94" s="84"/>
      <c r="M94" s="84"/>
      <c r="N94" s="84"/>
      <c r="O94" s="62"/>
    </row>
    <row r="95" spans="2:15">
      <c r="B95" s="129"/>
      <c r="C95" s="130"/>
      <c r="D95" s="130"/>
      <c r="E95" s="130"/>
      <c r="F95" s="130"/>
      <c r="G95" s="130"/>
      <c r="H95" s="130"/>
      <c r="I95" s="130"/>
      <c r="J95" s="131"/>
      <c r="K95" s="84"/>
      <c r="L95" s="84"/>
      <c r="M95" s="84"/>
      <c r="N95" s="84"/>
      <c r="O95" s="62"/>
    </row>
    <row r="96" spans="2:15">
      <c r="B96" s="129"/>
      <c r="C96" s="130"/>
      <c r="D96" s="130"/>
      <c r="E96" s="130"/>
      <c r="F96" s="130"/>
      <c r="G96" s="130"/>
      <c r="H96" s="130"/>
      <c r="I96" s="130"/>
      <c r="J96" s="131"/>
      <c r="K96" s="84"/>
      <c r="L96" s="84"/>
      <c r="M96" s="84"/>
      <c r="N96" s="84"/>
      <c r="O96" s="62"/>
    </row>
    <row r="97" spans="2:13">
      <c r="B97" s="129"/>
      <c r="C97" s="130"/>
      <c r="D97" s="130"/>
      <c r="E97" s="130"/>
      <c r="F97" s="130"/>
      <c r="G97" s="130"/>
      <c r="H97" s="130"/>
      <c r="I97" s="130"/>
      <c r="J97" s="131"/>
      <c r="K97" s="84"/>
      <c r="L97" s="84"/>
      <c r="M97" s="84"/>
    </row>
    <row r="98" spans="2:13">
      <c r="B98" s="129"/>
      <c r="C98" s="130"/>
      <c r="D98" s="130"/>
      <c r="E98" s="130"/>
      <c r="F98" s="130"/>
      <c r="G98" s="130"/>
      <c r="H98" s="130"/>
      <c r="I98" s="130"/>
      <c r="J98" s="131"/>
      <c r="K98" s="84"/>
      <c r="L98" s="84"/>
      <c r="M98" s="84"/>
    </row>
    <row r="99" spans="2:13">
      <c r="B99" s="129"/>
      <c r="C99" s="130"/>
      <c r="D99" s="130"/>
      <c r="E99" s="130"/>
      <c r="F99" s="130"/>
      <c r="G99" s="130"/>
      <c r="H99" s="130"/>
      <c r="I99" s="130"/>
      <c r="J99" s="131"/>
      <c r="K99" s="84"/>
      <c r="L99" s="84"/>
      <c r="M99" s="84"/>
    </row>
    <row r="100" spans="2:13">
      <c r="B100" s="129"/>
      <c r="C100" s="130"/>
      <c r="D100" s="130"/>
      <c r="E100" s="130"/>
      <c r="F100" s="130"/>
      <c r="G100" s="130"/>
      <c r="H100" s="130"/>
      <c r="I100" s="130"/>
      <c r="J100" s="131"/>
      <c r="K100" s="84"/>
      <c r="L100" s="84"/>
      <c r="M100" s="84"/>
    </row>
    <row r="101" spans="2:13">
      <c r="B101" s="129"/>
      <c r="C101" s="130"/>
      <c r="D101" s="130"/>
      <c r="E101" s="130"/>
      <c r="F101" s="130"/>
      <c r="G101" s="130"/>
      <c r="H101" s="130"/>
      <c r="I101" s="130"/>
      <c r="J101" s="131"/>
      <c r="K101" s="84"/>
      <c r="L101" s="84"/>
      <c r="M101" s="84"/>
    </row>
    <row r="102" spans="2:13">
      <c r="B102" s="129"/>
      <c r="C102" s="130"/>
      <c r="D102" s="130"/>
      <c r="E102" s="130"/>
      <c r="F102" s="130"/>
      <c r="G102" s="130"/>
      <c r="H102" s="130"/>
      <c r="I102" s="130"/>
      <c r="J102" s="131"/>
      <c r="K102" s="84"/>
      <c r="L102" s="84"/>
      <c r="M102" s="84"/>
    </row>
    <row r="103" spans="2:13">
      <c r="B103" s="129"/>
      <c r="C103" s="130"/>
      <c r="D103" s="130"/>
      <c r="E103" s="130"/>
      <c r="F103" s="130"/>
      <c r="G103" s="130"/>
      <c r="H103" s="130"/>
      <c r="I103" s="130"/>
      <c r="J103" s="131"/>
      <c r="K103" s="84"/>
      <c r="L103" s="84"/>
      <c r="M103" s="84"/>
    </row>
    <row r="104" spans="2:13">
      <c r="B104" s="129"/>
      <c r="C104" s="130"/>
      <c r="D104" s="130"/>
      <c r="E104" s="130"/>
      <c r="F104" s="130"/>
      <c r="G104" s="130"/>
      <c r="H104" s="130"/>
      <c r="I104" s="130"/>
      <c r="J104" s="131"/>
      <c r="K104" s="84"/>
      <c r="L104" s="84"/>
      <c r="M104" s="84"/>
    </row>
    <row r="105" spans="2:13">
      <c r="B105" s="129"/>
      <c r="C105" s="130"/>
      <c r="D105" s="130"/>
      <c r="E105" s="130"/>
      <c r="F105" s="130"/>
      <c r="G105" s="130"/>
      <c r="H105" s="130"/>
      <c r="I105" s="130"/>
      <c r="J105" s="131"/>
      <c r="K105" s="84"/>
      <c r="L105" s="84"/>
      <c r="M105" s="84"/>
    </row>
    <row r="106" spans="2:13">
      <c r="B106" s="129"/>
      <c r="C106" s="130"/>
      <c r="D106" s="130"/>
      <c r="E106" s="130"/>
      <c r="F106" s="130"/>
      <c r="G106" s="130"/>
      <c r="H106" s="130"/>
      <c r="I106" s="130"/>
      <c r="J106" s="131"/>
      <c r="K106" s="84"/>
      <c r="L106" s="84"/>
      <c r="M106" s="84"/>
    </row>
    <row r="107" spans="2:13">
      <c r="B107" s="129"/>
      <c r="C107" s="130"/>
      <c r="D107" s="130"/>
      <c r="E107" s="130"/>
      <c r="F107" s="130"/>
      <c r="G107" s="130"/>
      <c r="H107" s="130"/>
      <c r="I107" s="130"/>
      <c r="J107" s="131"/>
      <c r="K107" s="84"/>
      <c r="L107" s="84"/>
      <c r="M107" s="84"/>
    </row>
    <row r="108" spans="2:13">
      <c r="B108" s="129"/>
      <c r="C108" s="130"/>
      <c r="D108" s="130"/>
      <c r="E108" s="130"/>
      <c r="F108" s="130"/>
      <c r="G108" s="130"/>
      <c r="H108" s="130"/>
      <c r="I108" s="130"/>
      <c r="J108" s="131"/>
      <c r="K108" s="84"/>
      <c r="L108" s="84"/>
      <c r="M108" s="84"/>
    </row>
    <row r="109" spans="2:13">
      <c r="B109" s="129"/>
      <c r="C109" s="130"/>
      <c r="D109" s="130"/>
      <c r="E109" s="130"/>
      <c r="F109" s="130"/>
      <c r="G109" s="130"/>
      <c r="H109" s="130"/>
      <c r="I109" s="130"/>
      <c r="J109" s="131"/>
      <c r="K109" s="84"/>
      <c r="L109" s="84"/>
      <c r="M109" s="84"/>
    </row>
    <row r="110" spans="2:13">
      <c r="B110" s="129"/>
      <c r="C110" s="130"/>
      <c r="D110" s="130"/>
      <c r="E110" s="130"/>
      <c r="F110" s="130"/>
      <c r="G110" s="130"/>
      <c r="H110" s="130"/>
      <c r="I110" s="130"/>
      <c r="J110" s="131"/>
      <c r="K110" s="84"/>
      <c r="L110" s="84"/>
      <c r="M110" s="84"/>
    </row>
    <row r="111" spans="2:13">
      <c r="B111" s="129"/>
      <c r="C111" s="130"/>
      <c r="D111" s="130"/>
      <c r="E111" s="130"/>
      <c r="F111" s="130"/>
      <c r="G111" s="130"/>
      <c r="H111" s="130"/>
      <c r="I111" s="130"/>
      <c r="J111" s="131"/>
      <c r="K111" s="84"/>
      <c r="L111" s="84"/>
      <c r="M111" s="84"/>
    </row>
    <row r="112" spans="2:13">
      <c r="B112" s="129"/>
      <c r="C112" s="130"/>
      <c r="D112" s="130"/>
      <c r="E112" s="130"/>
      <c r="F112" s="130"/>
      <c r="G112" s="130"/>
      <c r="H112" s="130"/>
      <c r="I112" s="130"/>
      <c r="J112" s="131"/>
      <c r="K112" s="84"/>
      <c r="L112" s="84"/>
      <c r="M112" s="84"/>
    </row>
    <row r="113" spans="2:13">
      <c r="B113" s="129"/>
      <c r="C113" s="130"/>
      <c r="D113" s="130"/>
      <c r="E113" s="130"/>
      <c r="F113" s="130"/>
      <c r="G113" s="130"/>
      <c r="H113" s="130"/>
      <c r="I113" s="130"/>
      <c r="J113" s="131"/>
      <c r="K113" s="84"/>
      <c r="L113" s="84"/>
      <c r="M113" s="84"/>
    </row>
    <row r="114" spans="2:13">
      <c r="B114" s="129"/>
      <c r="C114" s="130"/>
      <c r="D114" s="130"/>
      <c r="E114" s="130"/>
      <c r="F114" s="130"/>
      <c r="G114" s="130"/>
      <c r="H114" s="130"/>
      <c r="I114" s="130"/>
      <c r="J114" s="131"/>
      <c r="K114" s="84"/>
      <c r="L114" s="84"/>
      <c r="M114" s="84"/>
    </row>
    <row r="115" spans="2:13">
      <c r="B115" s="129"/>
      <c r="C115" s="130"/>
      <c r="D115" s="130"/>
      <c r="E115" s="130"/>
      <c r="F115" s="130"/>
      <c r="G115" s="130"/>
      <c r="H115" s="130"/>
      <c r="I115" s="130"/>
      <c r="J115" s="131"/>
      <c r="K115" s="84"/>
      <c r="L115" s="84"/>
      <c r="M115" s="84"/>
    </row>
    <row r="116" spans="2:13">
      <c r="B116" s="129"/>
      <c r="C116" s="130"/>
      <c r="D116" s="130"/>
      <c r="E116" s="130"/>
      <c r="F116" s="130"/>
      <c r="G116" s="130"/>
      <c r="H116" s="130"/>
      <c r="I116" s="130"/>
      <c r="J116" s="131"/>
      <c r="K116" s="84"/>
      <c r="L116" s="84"/>
      <c r="M116" s="84"/>
    </row>
    <row r="117" spans="2:13">
      <c r="B117" s="129"/>
      <c r="C117" s="130"/>
      <c r="D117" s="130"/>
      <c r="E117" s="130"/>
      <c r="F117" s="130"/>
      <c r="G117" s="130"/>
      <c r="H117" s="130"/>
      <c r="I117" s="130"/>
      <c r="J117" s="131"/>
      <c r="K117" s="84"/>
      <c r="L117" s="84"/>
      <c r="M117" s="84"/>
    </row>
    <row r="118" spans="2:13">
      <c r="B118" s="129"/>
      <c r="C118" s="130"/>
      <c r="D118" s="130"/>
      <c r="E118" s="130"/>
      <c r="F118" s="130"/>
      <c r="G118" s="130"/>
      <c r="H118" s="130"/>
      <c r="I118" s="130"/>
      <c r="J118" s="131"/>
      <c r="K118" s="84"/>
      <c r="L118" s="84"/>
      <c r="M118" s="84"/>
    </row>
    <row r="119" spans="2:13">
      <c r="B119" s="129"/>
      <c r="C119" s="130"/>
      <c r="D119" s="130"/>
      <c r="E119" s="130"/>
      <c r="F119" s="130"/>
      <c r="G119" s="130"/>
      <c r="H119" s="130"/>
      <c r="I119" s="130"/>
      <c r="J119" s="131"/>
      <c r="K119" s="84"/>
      <c r="L119" s="84"/>
      <c r="M119" s="84"/>
    </row>
    <row r="120" spans="2:13">
      <c r="B120" s="129"/>
      <c r="C120" s="130"/>
      <c r="D120" s="130"/>
      <c r="E120" s="130"/>
      <c r="F120" s="130"/>
      <c r="G120" s="130"/>
      <c r="H120" s="130"/>
      <c r="I120" s="130"/>
      <c r="J120" s="131"/>
      <c r="K120" s="84"/>
      <c r="L120" s="84"/>
      <c r="M120" s="84"/>
    </row>
    <row r="121" spans="2:13">
      <c r="B121" s="129"/>
      <c r="C121" s="130"/>
      <c r="D121" s="130"/>
      <c r="E121" s="130"/>
      <c r="F121" s="130"/>
      <c r="G121" s="130"/>
      <c r="H121" s="130"/>
      <c r="I121" s="130"/>
      <c r="J121" s="131"/>
      <c r="K121" s="84"/>
      <c r="L121" s="84"/>
      <c r="M121" s="84"/>
    </row>
    <row r="122" spans="2:13">
      <c r="B122" s="129"/>
      <c r="C122" s="130"/>
      <c r="D122" s="130"/>
      <c r="E122" s="130"/>
      <c r="F122" s="130"/>
      <c r="G122" s="130"/>
      <c r="H122" s="130"/>
      <c r="I122" s="130"/>
      <c r="J122" s="131"/>
      <c r="K122" s="84"/>
      <c r="L122" s="84"/>
      <c r="M122" s="84"/>
    </row>
    <row r="123" spans="2:13">
      <c r="B123" s="129"/>
      <c r="C123" s="130"/>
      <c r="D123" s="130"/>
      <c r="E123" s="130"/>
      <c r="F123" s="130"/>
      <c r="G123" s="130"/>
      <c r="H123" s="130"/>
      <c r="I123" s="130"/>
      <c r="J123" s="131"/>
      <c r="K123" s="84"/>
      <c r="L123" s="84"/>
      <c r="M123" s="84"/>
    </row>
    <row r="124" spans="2:13">
      <c r="B124" s="129"/>
      <c r="C124" s="130"/>
      <c r="D124" s="130"/>
      <c r="E124" s="130"/>
      <c r="F124" s="130"/>
      <c r="G124" s="130"/>
      <c r="H124" s="130"/>
      <c r="I124" s="130"/>
      <c r="J124" s="131"/>
      <c r="K124" s="84"/>
      <c r="L124" s="84"/>
      <c r="M124" s="84"/>
    </row>
    <row r="125" spans="2:13">
      <c r="B125" s="129"/>
      <c r="C125" s="130"/>
      <c r="D125" s="130"/>
      <c r="E125" s="130"/>
      <c r="F125" s="130"/>
      <c r="G125" s="130"/>
      <c r="H125" s="130"/>
      <c r="I125" s="130"/>
      <c r="J125" s="131"/>
      <c r="K125" s="84"/>
      <c r="L125" s="84"/>
      <c r="M125" s="84"/>
    </row>
    <row r="126" spans="2:13">
      <c r="B126" s="129"/>
      <c r="C126" s="130"/>
      <c r="D126" s="130"/>
      <c r="E126" s="130"/>
      <c r="F126" s="130"/>
      <c r="G126" s="130"/>
      <c r="H126" s="130"/>
      <c r="I126" s="130"/>
      <c r="J126" s="131"/>
      <c r="K126" s="84"/>
      <c r="L126" s="84"/>
      <c r="M126" s="84"/>
    </row>
    <row r="127" spans="2:13">
      <c r="B127" s="129"/>
      <c r="C127" s="130"/>
      <c r="D127" s="130"/>
      <c r="E127" s="130"/>
      <c r="F127" s="130"/>
      <c r="G127" s="130"/>
      <c r="H127" s="130"/>
      <c r="I127" s="130"/>
      <c r="J127" s="131"/>
      <c r="K127" s="84"/>
      <c r="L127" s="84"/>
      <c r="M127" s="84"/>
    </row>
    <row r="128" spans="2:13">
      <c r="B128" s="129"/>
      <c r="C128" s="130"/>
      <c r="D128" s="130"/>
      <c r="E128" s="130"/>
      <c r="F128" s="130"/>
      <c r="G128" s="130"/>
      <c r="H128" s="130"/>
      <c r="I128" s="130"/>
      <c r="J128" s="131"/>
      <c r="K128" s="84"/>
      <c r="L128" s="84"/>
      <c r="M128" s="84"/>
    </row>
    <row r="129" spans="2:13">
      <c r="B129" s="129"/>
      <c r="C129" s="130"/>
      <c r="D129" s="130"/>
      <c r="E129" s="130"/>
      <c r="F129" s="130"/>
      <c r="G129" s="130"/>
      <c r="H129" s="130"/>
      <c r="I129" s="130"/>
      <c r="J129" s="131"/>
      <c r="K129" s="84"/>
      <c r="L129" s="84"/>
      <c r="M129" s="84"/>
    </row>
    <row r="130" spans="2:13">
      <c r="B130" s="129"/>
      <c r="C130" s="130"/>
      <c r="D130" s="130"/>
      <c r="E130" s="130"/>
      <c r="F130" s="130"/>
      <c r="G130" s="130"/>
      <c r="H130" s="130"/>
      <c r="I130" s="130"/>
      <c r="J130" s="131"/>
      <c r="K130" s="84"/>
      <c r="L130" s="84"/>
      <c r="M130" s="84"/>
    </row>
    <row r="131" spans="2:13">
      <c r="B131" s="129"/>
      <c r="C131" s="130"/>
      <c r="D131" s="130"/>
      <c r="E131" s="130"/>
      <c r="F131" s="130"/>
      <c r="G131" s="130"/>
      <c r="H131" s="130"/>
      <c r="I131" s="130"/>
      <c r="J131" s="131"/>
      <c r="K131" s="84"/>
      <c r="L131" s="84"/>
      <c r="M131" s="84"/>
    </row>
    <row r="132" spans="2:13">
      <c r="B132" s="129"/>
      <c r="C132" s="130"/>
      <c r="D132" s="130"/>
      <c r="E132" s="130"/>
      <c r="F132" s="130"/>
      <c r="G132" s="130"/>
      <c r="H132" s="130"/>
      <c r="I132" s="130"/>
      <c r="J132" s="131"/>
      <c r="K132" s="84"/>
      <c r="L132" s="84"/>
      <c r="M132" s="84"/>
    </row>
    <row r="133" spans="2:13">
      <c r="B133" s="129"/>
      <c r="C133" s="130"/>
      <c r="D133" s="130"/>
      <c r="E133" s="130"/>
      <c r="F133" s="130"/>
      <c r="G133" s="130"/>
      <c r="H133" s="130"/>
      <c r="I133" s="130"/>
      <c r="J133" s="131"/>
      <c r="K133" s="84"/>
      <c r="L133" s="84"/>
      <c r="M133" s="84"/>
    </row>
    <row r="134" spans="2:13">
      <c r="B134" s="129"/>
      <c r="C134" s="130"/>
      <c r="D134" s="130"/>
      <c r="E134" s="130"/>
      <c r="F134" s="130"/>
      <c r="G134" s="130"/>
      <c r="H134" s="130"/>
      <c r="I134" s="130"/>
      <c r="J134" s="131"/>
      <c r="K134" s="84"/>
      <c r="L134" s="84"/>
      <c r="M134" s="84"/>
    </row>
    <row r="135" spans="2:13">
      <c r="B135" s="129"/>
      <c r="C135" s="130"/>
      <c r="D135" s="130"/>
      <c r="E135" s="130"/>
      <c r="F135" s="130"/>
      <c r="G135" s="130"/>
      <c r="H135" s="130"/>
      <c r="I135" s="130"/>
      <c r="J135" s="131"/>
      <c r="K135" s="84"/>
      <c r="L135" s="84"/>
      <c r="M135" s="84"/>
    </row>
    <row r="136" spans="2:13">
      <c r="B136" s="129"/>
      <c r="C136" s="130"/>
      <c r="D136" s="130"/>
      <c r="E136" s="130"/>
      <c r="F136" s="130"/>
      <c r="G136" s="130"/>
      <c r="H136" s="130"/>
      <c r="I136" s="130"/>
      <c r="J136" s="131"/>
      <c r="K136" s="84"/>
      <c r="L136" s="84"/>
      <c r="M136" s="84"/>
    </row>
    <row r="137" spans="2:13">
      <c r="B137" s="129"/>
      <c r="C137" s="130"/>
      <c r="D137" s="130"/>
      <c r="E137" s="130"/>
      <c r="F137" s="130"/>
      <c r="G137" s="130"/>
      <c r="H137" s="130"/>
      <c r="I137" s="130"/>
      <c r="J137" s="131"/>
      <c r="K137" s="84"/>
      <c r="L137" s="84"/>
      <c r="M137" s="84"/>
    </row>
    <row r="138" spans="2:13">
      <c r="B138" s="129"/>
      <c r="C138" s="130"/>
      <c r="D138" s="130"/>
      <c r="E138" s="130"/>
      <c r="F138" s="130"/>
      <c r="G138" s="130"/>
      <c r="H138" s="130"/>
      <c r="I138" s="130"/>
      <c r="J138" s="131"/>
      <c r="K138" s="84"/>
      <c r="L138" s="84"/>
      <c r="M138" s="84"/>
    </row>
    <row r="139" spans="2:13">
      <c r="B139" s="129"/>
      <c r="C139" s="130"/>
      <c r="D139" s="130"/>
      <c r="E139" s="130"/>
      <c r="F139" s="130"/>
      <c r="G139" s="130"/>
      <c r="H139" s="130"/>
      <c r="I139" s="130"/>
      <c r="J139" s="131"/>
      <c r="K139" s="84"/>
      <c r="L139" s="84"/>
      <c r="M139" s="84"/>
    </row>
    <row r="140" spans="2:13">
      <c r="B140" s="129"/>
      <c r="C140" s="130"/>
      <c r="D140" s="130"/>
      <c r="E140" s="130"/>
      <c r="F140" s="130"/>
      <c r="G140" s="130"/>
      <c r="H140" s="130"/>
      <c r="I140" s="130"/>
      <c r="J140" s="131"/>
      <c r="K140" s="84"/>
      <c r="L140" s="84"/>
      <c r="M140" s="84"/>
    </row>
    <row r="141" spans="2:13">
      <c r="B141" s="129"/>
      <c r="C141" s="130"/>
      <c r="D141" s="130"/>
      <c r="E141" s="130"/>
      <c r="F141" s="130"/>
      <c r="G141" s="130"/>
      <c r="H141" s="130"/>
      <c r="I141" s="130"/>
      <c r="J141" s="131"/>
      <c r="K141" s="84"/>
      <c r="L141" s="84"/>
      <c r="M141" s="84"/>
    </row>
    <row r="142" spans="2:13">
      <c r="B142" s="129"/>
      <c r="C142" s="130"/>
      <c r="D142" s="130"/>
      <c r="E142" s="130"/>
      <c r="F142" s="130"/>
      <c r="G142" s="130"/>
      <c r="H142" s="130"/>
      <c r="I142" s="130"/>
      <c r="J142" s="131"/>
      <c r="K142" s="84"/>
      <c r="L142" s="84"/>
      <c r="M142" s="84"/>
    </row>
    <row r="143" spans="2:13">
      <c r="B143" s="129"/>
      <c r="C143" s="130"/>
      <c r="D143" s="130"/>
      <c r="E143" s="130"/>
      <c r="F143" s="130"/>
      <c r="G143" s="130"/>
      <c r="H143" s="130"/>
      <c r="I143" s="130"/>
      <c r="J143" s="131"/>
      <c r="K143" s="84"/>
      <c r="L143" s="84"/>
      <c r="M143" s="84"/>
    </row>
    <row r="144" spans="2:13">
      <c r="B144" s="129"/>
      <c r="C144" s="130"/>
      <c r="D144" s="130"/>
      <c r="E144" s="130"/>
      <c r="F144" s="130"/>
      <c r="G144" s="130"/>
      <c r="H144" s="130"/>
      <c r="I144" s="130"/>
      <c r="J144" s="131"/>
      <c r="K144" s="84"/>
      <c r="L144" s="84"/>
      <c r="M144" s="84"/>
    </row>
    <row r="145" spans="2:13">
      <c r="B145" s="129"/>
      <c r="C145" s="130"/>
      <c r="D145" s="130"/>
      <c r="E145" s="130"/>
      <c r="F145" s="130"/>
      <c r="G145" s="130"/>
      <c r="H145" s="130"/>
      <c r="I145" s="130"/>
      <c r="J145" s="131"/>
      <c r="K145" s="84"/>
      <c r="L145" s="84"/>
      <c r="M145" s="84"/>
    </row>
    <row r="146" spans="2:13">
      <c r="B146" s="129"/>
      <c r="C146" s="130"/>
      <c r="D146" s="130"/>
      <c r="E146" s="130"/>
      <c r="F146" s="130"/>
      <c r="G146" s="130"/>
      <c r="H146" s="130"/>
      <c r="I146" s="130"/>
      <c r="J146" s="131"/>
      <c r="K146" s="84"/>
      <c r="L146" s="84"/>
      <c r="M146" s="84"/>
    </row>
    <row r="147" spans="2:13">
      <c r="B147" s="129"/>
      <c r="C147" s="130"/>
      <c r="D147" s="130"/>
      <c r="E147" s="130"/>
      <c r="F147" s="130"/>
      <c r="G147" s="130"/>
      <c r="H147" s="130"/>
      <c r="I147" s="130"/>
      <c r="J147" s="131"/>
      <c r="K147" s="84"/>
      <c r="L147" s="84"/>
      <c r="M147" s="84"/>
    </row>
    <row r="148" spans="2:13">
      <c r="B148" s="129"/>
      <c r="C148" s="130"/>
      <c r="D148" s="130"/>
      <c r="E148" s="130"/>
      <c r="F148" s="130"/>
      <c r="G148" s="130"/>
      <c r="H148" s="130"/>
      <c r="I148" s="130"/>
      <c r="J148" s="131"/>
      <c r="K148" s="84"/>
      <c r="L148" s="84"/>
      <c r="M148" s="84"/>
    </row>
    <row r="149" spans="2:13">
      <c r="B149" s="129"/>
      <c r="C149" s="130"/>
      <c r="D149" s="130"/>
      <c r="E149" s="130"/>
      <c r="F149" s="130"/>
      <c r="G149" s="130"/>
      <c r="H149" s="130"/>
      <c r="I149" s="130"/>
      <c r="J149" s="131"/>
      <c r="K149" s="84"/>
      <c r="L149" s="84"/>
      <c r="M149" s="84"/>
    </row>
    <row r="150" spans="2:13">
      <c r="B150" s="129"/>
      <c r="C150" s="130"/>
      <c r="D150" s="130"/>
      <c r="E150" s="130"/>
      <c r="F150" s="130"/>
      <c r="G150" s="130"/>
      <c r="H150" s="130"/>
      <c r="I150" s="130"/>
      <c r="J150" s="131"/>
      <c r="K150" s="84"/>
      <c r="L150" s="84"/>
      <c r="M150" s="84"/>
    </row>
    <row r="151" spans="2:13">
      <c r="B151" s="129"/>
      <c r="C151" s="130"/>
      <c r="D151" s="130"/>
      <c r="E151" s="130"/>
      <c r="F151" s="130"/>
      <c r="G151" s="130"/>
      <c r="H151" s="130"/>
      <c r="I151" s="130"/>
      <c r="J151" s="131"/>
      <c r="K151" s="84"/>
      <c r="L151" s="84"/>
      <c r="M151" s="84"/>
    </row>
    <row r="152" spans="2:13">
      <c r="B152" s="129"/>
      <c r="C152" s="130"/>
      <c r="D152" s="130"/>
      <c r="E152" s="130"/>
      <c r="F152" s="130"/>
      <c r="G152" s="130"/>
      <c r="H152" s="130"/>
      <c r="I152" s="130"/>
      <c r="J152" s="131"/>
      <c r="K152" s="84"/>
      <c r="L152" s="84"/>
      <c r="M152" s="84"/>
    </row>
    <row r="153" spans="2:13">
      <c r="B153" s="129"/>
      <c r="C153" s="130"/>
      <c r="D153" s="130"/>
      <c r="E153" s="130"/>
      <c r="F153" s="130"/>
      <c r="G153" s="130"/>
      <c r="H153" s="130"/>
      <c r="I153" s="130"/>
      <c r="J153" s="131"/>
      <c r="K153" s="84"/>
      <c r="L153" s="84"/>
      <c r="M153" s="84"/>
    </row>
    <row r="154" spans="2:13">
      <c r="B154" s="129"/>
      <c r="C154" s="130"/>
      <c r="D154" s="130"/>
      <c r="E154" s="130"/>
      <c r="F154" s="130"/>
      <c r="G154" s="130"/>
      <c r="H154" s="130"/>
      <c r="I154" s="130"/>
      <c r="J154" s="131"/>
      <c r="K154" s="84"/>
      <c r="L154" s="84"/>
      <c r="M154" s="84"/>
    </row>
    <row r="155" spans="2:13">
      <c r="B155" s="129"/>
      <c r="C155" s="130"/>
      <c r="D155" s="130"/>
      <c r="E155" s="130"/>
      <c r="F155" s="130"/>
      <c r="G155" s="130"/>
      <c r="H155" s="130"/>
      <c r="I155" s="130"/>
      <c r="J155" s="131"/>
      <c r="K155" s="84"/>
      <c r="L155" s="84"/>
      <c r="M155" s="84"/>
    </row>
    <row r="156" spans="2:13">
      <c r="B156" s="129"/>
      <c r="C156" s="130"/>
      <c r="D156" s="130"/>
      <c r="E156" s="130"/>
      <c r="F156" s="130"/>
      <c r="G156" s="130"/>
      <c r="H156" s="130"/>
      <c r="I156" s="130"/>
      <c r="J156" s="131"/>
      <c r="K156" s="84"/>
      <c r="L156" s="84"/>
      <c r="M156" s="84"/>
    </row>
    <row r="157" spans="2:13">
      <c r="B157" s="129"/>
      <c r="C157" s="130"/>
      <c r="D157" s="130"/>
      <c r="E157" s="130"/>
      <c r="F157" s="130"/>
      <c r="G157" s="130"/>
      <c r="H157" s="130"/>
      <c r="I157" s="130"/>
      <c r="J157" s="131"/>
      <c r="K157" s="84"/>
      <c r="L157" s="84"/>
      <c r="M157" s="84"/>
    </row>
    <row r="158" spans="2:13">
      <c r="B158" s="129"/>
      <c r="C158" s="130"/>
      <c r="D158" s="130"/>
      <c r="E158" s="130"/>
      <c r="F158" s="130"/>
      <c r="G158" s="130"/>
      <c r="H158" s="130"/>
      <c r="I158" s="130"/>
      <c r="J158" s="131"/>
      <c r="K158" s="84"/>
      <c r="L158" s="84"/>
      <c r="M158" s="84"/>
    </row>
    <row r="159" spans="2:13">
      <c r="B159" s="129"/>
      <c r="C159" s="130"/>
      <c r="D159" s="130"/>
      <c r="E159" s="130"/>
      <c r="F159" s="130"/>
      <c r="G159" s="130"/>
      <c r="H159" s="130"/>
      <c r="I159" s="130"/>
      <c r="J159" s="131"/>
      <c r="K159" s="84"/>
      <c r="L159" s="84"/>
      <c r="M159" s="84"/>
    </row>
    <row r="160" spans="2:13">
      <c r="B160" s="129"/>
      <c r="C160" s="130"/>
      <c r="D160" s="130"/>
      <c r="E160" s="130"/>
      <c r="F160" s="130"/>
      <c r="G160" s="130"/>
      <c r="H160" s="130"/>
      <c r="I160" s="130"/>
      <c r="J160" s="131"/>
      <c r="K160" s="84"/>
      <c r="L160" s="84"/>
      <c r="M160" s="84"/>
    </row>
    <row r="161" spans="2:13">
      <c r="B161" s="129"/>
      <c r="C161" s="130"/>
      <c r="D161" s="130"/>
      <c r="E161" s="130"/>
      <c r="F161" s="130"/>
      <c r="G161" s="130"/>
      <c r="H161" s="130"/>
      <c r="I161" s="130"/>
      <c r="J161" s="131"/>
      <c r="K161" s="84"/>
      <c r="L161" s="84"/>
      <c r="M161" s="84"/>
    </row>
    <row r="162" spans="2:13">
      <c r="B162" s="129"/>
      <c r="C162" s="130"/>
      <c r="D162" s="130"/>
      <c r="E162" s="130"/>
      <c r="F162" s="130"/>
      <c r="G162" s="130"/>
      <c r="H162" s="130"/>
      <c r="I162" s="130"/>
      <c r="J162" s="131"/>
      <c r="K162" s="84"/>
      <c r="L162" s="84"/>
      <c r="M162" s="84"/>
    </row>
    <row r="163" spans="2:13">
      <c r="B163" s="129"/>
      <c r="C163" s="130"/>
      <c r="D163" s="130"/>
      <c r="E163" s="130"/>
      <c r="F163" s="130"/>
      <c r="G163" s="130"/>
      <c r="H163" s="130"/>
      <c r="I163" s="130"/>
      <c r="J163" s="131"/>
      <c r="K163" s="84"/>
      <c r="L163" s="84"/>
      <c r="M163" s="84"/>
    </row>
    <row r="164" spans="2:13">
      <c r="B164" s="129"/>
      <c r="C164" s="130"/>
      <c r="D164" s="130"/>
      <c r="E164" s="130"/>
      <c r="F164" s="130"/>
      <c r="G164" s="130"/>
      <c r="H164" s="130"/>
      <c r="I164" s="130"/>
      <c r="J164" s="131"/>
      <c r="K164" s="84"/>
      <c r="L164" s="84"/>
      <c r="M164" s="84"/>
    </row>
    <row r="165" spans="2:13">
      <c r="B165" s="129"/>
      <c r="C165" s="130"/>
      <c r="D165" s="130"/>
      <c r="E165" s="130"/>
      <c r="F165" s="130"/>
      <c r="G165" s="130"/>
      <c r="H165" s="130"/>
      <c r="I165" s="130"/>
      <c r="J165" s="131"/>
      <c r="K165" s="84"/>
      <c r="L165" s="84"/>
      <c r="M165" s="84"/>
    </row>
    <row r="166" spans="2:13">
      <c r="B166" s="129"/>
      <c r="C166" s="130"/>
      <c r="D166" s="130"/>
      <c r="E166" s="130"/>
      <c r="F166" s="130"/>
      <c r="G166" s="130"/>
      <c r="H166" s="130"/>
      <c r="I166" s="130"/>
      <c r="J166" s="131"/>
      <c r="K166" s="84"/>
      <c r="L166" s="84"/>
      <c r="M166" s="84"/>
    </row>
    <row r="167" spans="2:13">
      <c r="B167" s="129"/>
      <c r="C167" s="130"/>
      <c r="D167" s="130"/>
      <c r="E167" s="130"/>
      <c r="F167" s="130"/>
      <c r="G167" s="130"/>
      <c r="H167" s="130"/>
      <c r="I167" s="130"/>
      <c r="J167" s="131"/>
      <c r="K167" s="84"/>
      <c r="L167" s="84"/>
      <c r="M167" s="84"/>
    </row>
    <row r="168" spans="2:13">
      <c r="B168" s="129"/>
      <c r="C168" s="130"/>
      <c r="D168" s="130"/>
      <c r="E168" s="130"/>
      <c r="F168" s="130"/>
      <c r="G168" s="130"/>
      <c r="H168" s="130"/>
      <c r="I168" s="130"/>
      <c r="J168" s="131"/>
      <c r="K168" s="84"/>
      <c r="L168" s="84"/>
      <c r="M168" s="84"/>
    </row>
    <row r="169" spans="2:13">
      <c r="B169" s="129"/>
      <c r="C169" s="130"/>
      <c r="D169" s="130"/>
      <c r="E169" s="130"/>
      <c r="F169" s="130"/>
      <c r="G169" s="130"/>
      <c r="H169" s="130"/>
      <c r="I169" s="130"/>
      <c r="J169" s="131"/>
      <c r="K169" s="84"/>
      <c r="L169" s="84"/>
      <c r="M169" s="84"/>
    </row>
    <row r="170" spans="2:13">
      <c r="B170" s="129"/>
      <c r="C170" s="130"/>
      <c r="D170" s="130"/>
      <c r="E170" s="130"/>
      <c r="F170" s="130"/>
      <c r="G170" s="130"/>
      <c r="H170" s="130"/>
      <c r="I170" s="130"/>
      <c r="J170" s="131"/>
      <c r="K170" s="84"/>
      <c r="L170" s="84"/>
      <c r="M170" s="84"/>
    </row>
    <row r="171" spans="2:13">
      <c r="B171" s="101"/>
      <c r="C171" s="101"/>
      <c r="D171" s="101"/>
      <c r="E171" s="101"/>
      <c r="F171" s="101"/>
      <c r="G171" s="101"/>
      <c r="H171" s="101"/>
      <c r="I171" s="101"/>
      <c r="J171" s="101"/>
      <c r="K171" s="84"/>
      <c r="L171" s="84"/>
      <c r="M171" s="84"/>
    </row>
    <row r="172" spans="2:13">
      <c r="B172" s="101"/>
      <c r="C172" s="101"/>
      <c r="D172" s="101"/>
      <c r="E172" s="101"/>
      <c r="F172" s="101"/>
      <c r="G172" s="101"/>
      <c r="H172" s="101"/>
      <c r="I172" s="101"/>
      <c r="J172" s="101"/>
      <c r="K172" s="84"/>
      <c r="L172" s="84"/>
      <c r="M172" s="84"/>
    </row>
    <row r="173" spans="2:13">
      <c r="B173" s="101"/>
      <c r="C173" s="101"/>
      <c r="D173" s="101"/>
      <c r="E173" s="101"/>
      <c r="F173" s="101"/>
      <c r="G173" s="101"/>
      <c r="H173" s="101"/>
      <c r="I173" s="101"/>
      <c r="J173" s="101"/>
      <c r="K173" s="84"/>
      <c r="L173" s="84"/>
      <c r="M173" s="84"/>
    </row>
    <row r="174" spans="2:13">
      <c r="B174" s="101"/>
      <c r="C174" s="101"/>
      <c r="D174" s="101"/>
      <c r="E174" s="101"/>
      <c r="F174" s="101"/>
      <c r="G174" s="101"/>
      <c r="H174" s="101"/>
      <c r="I174" s="101"/>
      <c r="J174" s="101"/>
      <c r="K174" s="84"/>
      <c r="L174" s="84"/>
      <c r="M174" s="84"/>
    </row>
    <row r="175" spans="2:13">
      <c r="B175" s="101"/>
      <c r="C175" s="101"/>
      <c r="D175" s="101"/>
      <c r="E175" s="101"/>
      <c r="F175" s="101"/>
      <c r="G175" s="101"/>
      <c r="H175" s="101"/>
      <c r="I175" s="101"/>
      <c r="J175" s="101"/>
      <c r="K175" s="84"/>
      <c r="L175" s="84"/>
      <c r="M175" s="84"/>
    </row>
    <row r="176" spans="2:13">
      <c r="B176" s="101"/>
      <c r="C176" s="101"/>
      <c r="D176" s="101"/>
      <c r="E176" s="101"/>
      <c r="F176" s="101"/>
      <c r="G176" s="101"/>
      <c r="H176" s="101"/>
      <c r="I176" s="101"/>
      <c r="J176" s="101"/>
      <c r="K176" s="84"/>
      <c r="L176" s="84"/>
      <c r="M176" s="84"/>
    </row>
    <row r="177" spans="2:13">
      <c r="B177" s="101"/>
      <c r="C177" s="101"/>
      <c r="D177" s="101"/>
      <c r="E177" s="101"/>
      <c r="F177" s="101"/>
      <c r="G177" s="101"/>
      <c r="H177" s="101"/>
      <c r="I177" s="101"/>
      <c r="J177" s="101"/>
      <c r="K177" s="84"/>
      <c r="L177" s="84"/>
      <c r="M177" s="84"/>
    </row>
    <row r="178" spans="2:13">
      <c r="B178" s="101"/>
      <c r="C178" s="101"/>
      <c r="D178" s="101"/>
      <c r="E178" s="101"/>
      <c r="F178" s="101"/>
      <c r="G178" s="101"/>
      <c r="H178" s="101"/>
      <c r="I178" s="101"/>
      <c r="J178" s="101"/>
      <c r="K178" s="84"/>
      <c r="L178" s="84"/>
      <c r="M178" s="84"/>
    </row>
    <row r="179" spans="2:13">
      <c r="B179" s="101"/>
      <c r="C179" s="101"/>
      <c r="D179" s="101"/>
      <c r="E179" s="101"/>
      <c r="F179" s="101"/>
      <c r="G179" s="101"/>
      <c r="H179" s="101"/>
      <c r="I179" s="101"/>
      <c r="J179" s="101"/>
      <c r="K179" s="84"/>
      <c r="L179" s="84"/>
      <c r="M179" s="84"/>
    </row>
    <row r="180" spans="2:13">
      <c r="B180" s="101"/>
      <c r="C180" s="101"/>
      <c r="D180" s="101"/>
      <c r="E180" s="101"/>
      <c r="F180" s="101"/>
      <c r="G180" s="101"/>
      <c r="H180" s="101"/>
      <c r="I180" s="101"/>
      <c r="J180" s="101"/>
      <c r="K180" s="84"/>
      <c r="L180" s="84"/>
      <c r="M180" s="84"/>
    </row>
    <row r="181" spans="2:13">
      <c r="B181" s="101"/>
      <c r="C181" s="101"/>
      <c r="D181" s="101"/>
      <c r="E181" s="101"/>
      <c r="F181" s="101"/>
      <c r="G181" s="101"/>
      <c r="H181" s="101"/>
      <c r="I181" s="101"/>
      <c r="J181" s="101"/>
      <c r="K181" s="84"/>
      <c r="L181" s="84"/>
      <c r="M181" s="84"/>
    </row>
    <row r="182" spans="2:13">
      <c r="B182" s="101"/>
      <c r="C182" s="101"/>
      <c r="D182" s="101"/>
      <c r="E182" s="101"/>
      <c r="F182" s="101"/>
      <c r="G182" s="101"/>
      <c r="H182" s="101"/>
      <c r="I182" s="101"/>
      <c r="J182" s="101"/>
      <c r="K182" s="84"/>
      <c r="L182" s="84"/>
      <c r="M182" s="84"/>
    </row>
    <row r="183" spans="2:13">
      <c r="B183" s="101"/>
      <c r="C183" s="101"/>
      <c r="D183" s="101"/>
      <c r="E183" s="101"/>
      <c r="F183" s="101"/>
      <c r="G183" s="101"/>
      <c r="H183" s="101"/>
      <c r="I183" s="101"/>
      <c r="J183" s="101"/>
      <c r="K183" s="84"/>
      <c r="L183" s="84"/>
      <c r="M183" s="84"/>
    </row>
    <row r="184" spans="2:13">
      <c r="B184" s="101"/>
      <c r="C184" s="101"/>
      <c r="D184" s="101"/>
      <c r="E184" s="101"/>
      <c r="F184" s="101"/>
      <c r="G184" s="101"/>
      <c r="H184" s="101"/>
      <c r="I184" s="101"/>
      <c r="J184" s="101"/>
      <c r="K184" s="84"/>
      <c r="L184" s="84"/>
      <c r="M184" s="84"/>
    </row>
    <row r="185" spans="2:13">
      <c r="B185" s="101"/>
      <c r="C185" s="101"/>
      <c r="D185" s="101"/>
      <c r="E185" s="101"/>
      <c r="F185" s="101"/>
      <c r="G185" s="101"/>
      <c r="H185" s="101"/>
      <c r="I185" s="101"/>
      <c r="J185" s="101"/>
      <c r="K185" s="84"/>
      <c r="L185" s="84"/>
      <c r="M185" s="84"/>
    </row>
    <row r="186" spans="2:13">
      <c r="B186" s="101"/>
      <c r="C186" s="101"/>
      <c r="D186" s="101"/>
      <c r="E186" s="101"/>
      <c r="F186" s="101"/>
      <c r="G186" s="101"/>
      <c r="H186" s="101"/>
      <c r="I186" s="101"/>
      <c r="J186" s="101"/>
      <c r="K186" s="84"/>
      <c r="L186" s="84"/>
      <c r="M186" s="84"/>
    </row>
    <row r="187" spans="2:13">
      <c r="B187" s="101"/>
      <c r="C187" s="101"/>
      <c r="D187" s="101"/>
      <c r="E187" s="101"/>
      <c r="F187" s="101"/>
      <c r="G187" s="101"/>
      <c r="H187" s="101"/>
      <c r="I187" s="101"/>
      <c r="J187" s="101"/>
      <c r="K187" s="84"/>
      <c r="L187" s="84"/>
      <c r="M187" s="84"/>
    </row>
    <row r="188" spans="2:13">
      <c r="B188" s="101"/>
      <c r="C188" s="101"/>
      <c r="D188" s="101"/>
      <c r="E188" s="101"/>
      <c r="F188" s="101"/>
      <c r="G188" s="101"/>
      <c r="H188" s="101"/>
      <c r="I188" s="101"/>
      <c r="J188" s="101"/>
      <c r="K188" s="84"/>
      <c r="L188" s="84"/>
      <c r="M188" s="84"/>
    </row>
    <row r="189" spans="2:13">
      <c r="B189" s="101"/>
      <c r="C189" s="101"/>
      <c r="D189" s="101"/>
      <c r="E189" s="101"/>
      <c r="F189" s="101"/>
      <c r="G189" s="101"/>
      <c r="H189" s="101"/>
      <c r="I189" s="101"/>
      <c r="J189" s="101"/>
      <c r="K189" s="84"/>
      <c r="L189" s="84"/>
      <c r="M189" s="84"/>
    </row>
    <row r="190" spans="2:13">
      <c r="B190" s="101"/>
      <c r="C190" s="101"/>
      <c r="D190" s="101"/>
      <c r="E190" s="101"/>
      <c r="F190" s="101"/>
      <c r="G190" s="101"/>
      <c r="H190" s="101"/>
      <c r="I190" s="101"/>
      <c r="J190" s="101"/>
      <c r="K190" s="84"/>
      <c r="L190" s="84"/>
      <c r="M190" s="84"/>
    </row>
    <row r="191" spans="2:13">
      <c r="B191" s="101"/>
      <c r="C191" s="101"/>
      <c r="D191" s="101"/>
      <c r="E191" s="101"/>
      <c r="F191" s="101"/>
      <c r="G191" s="101"/>
      <c r="H191" s="101"/>
      <c r="I191" s="101"/>
      <c r="J191" s="101"/>
      <c r="K191" s="84"/>
      <c r="L191" s="84"/>
      <c r="M191" s="84"/>
    </row>
    <row r="192" spans="2:13">
      <c r="B192" s="101"/>
      <c r="C192" s="101"/>
      <c r="D192" s="101"/>
      <c r="E192" s="101"/>
      <c r="F192" s="101"/>
      <c r="G192" s="101"/>
      <c r="H192" s="101"/>
      <c r="I192" s="101"/>
      <c r="J192" s="101"/>
      <c r="K192" s="84"/>
      <c r="L192" s="84"/>
      <c r="M192" s="84"/>
    </row>
    <row r="193" spans="2:13">
      <c r="B193" s="101"/>
      <c r="C193" s="101"/>
      <c r="D193" s="101"/>
      <c r="E193" s="101"/>
      <c r="F193" s="101"/>
      <c r="G193" s="101"/>
      <c r="H193" s="101"/>
      <c r="I193" s="101"/>
      <c r="J193" s="101"/>
      <c r="K193" s="84"/>
      <c r="L193" s="84"/>
      <c r="M193" s="84"/>
    </row>
    <row r="194" spans="2:13">
      <c r="B194" s="101"/>
      <c r="C194" s="101"/>
      <c r="D194" s="101"/>
      <c r="E194" s="101"/>
      <c r="F194" s="101"/>
      <c r="G194" s="101"/>
      <c r="H194" s="101"/>
      <c r="I194" s="101"/>
      <c r="J194" s="101"/>
      <c r="K194" s="84"/>
      <c r="L194" s="84"/>
      <c r="M194" s="84"/>
    </row>
    <row r="195" spans="2:13">
      <c r="B195" s="101"/>
      <c r="C195" s="101"/>
      <c r="D195" s="101"/>
      <c r="E195" s="101"/>
      <c r="F195" s="101"/>
      <c r="G195" s="101"/>
      <c r="H195" s="101"/>
      <c r="I195" s="101"/>
      <c r="J195" s="101"/>
      <c r="K195" s="84"/>
      <c r="L195" s="84"/>
      <c r="M195" s="84"/>
    </row>
    <row r="196" spans="2:13">
      <c r="B196" s="101"/>
      <c r="C196" s="101"/>
      <c r="D196" s="101"/>
      <c r="E196" s="101"/>
      <c r="F196" s="101"/>
      <c r="G196" s="101"/>
      <c r="H196" s="101"/>
      <c r="I196" s="101"/>
      <c r="J196" s="101"/>
      <c r="K196" s="84"/>
      <c r="L196" s="84"/>
      <c r="M196" s="84"/>
    </row>
    <row r="197" spans="2:13">
      <c r="B197" s="101"/>
      <c r="C197" s="101"/>
      <c r="D197" s="101"/>
      <c r="E197" s="101"/>
      <c r="F197" s="101"/>
      <c r="G197" s="101"/>
      <c r="H197" s="101"/>
      <c r="I197" s="101"/>
      <c r="J197" s="101"/>
      <c r="K197" s="84"/>
      <c r="L197" s="84"/>
      <c r="M197" s="84"/>
    </row>
    <row r="198" spans="2:13">
      <c r="B198" s="101"/>
      <c r="C198" s="101"/>
      <c r="D198" s="101"/>
      <c r="E198" s="101"/>
      <c r="F198" s="101"/>
      <c r="G198" s="101"/>
      <c r="H198" s="101"/>
      <c r="I198" s="101"/>
      <c r="J198" s="101"/>
      <c r="K198" s="84"/>
      <c r="L198" s="84"/>
      <c r="M198" s="84"/>
    </row>
    <row r="199" spans="2:13">
      <c r="B199" s="101"/>
      <c r="C199" s="101"/>
      <c r="D199" s="101"/>
      <c r="E199" s="101"/>
      <c r="F199" s="101"/>
      <c r="G199" s="101"/>
      <c r="H199" s="101"/>
      <c r="I199" s="101"/>
      <c r="J199" s="101"/>
      <c r="K199" s="84"/>
      <c r="L199" s="84"/>
      <c r="M199" s="84"/>
    </row>
    <row r="200" spans="2:13">
      <c r="B200" s="101"/>
      <c r="C200" s="101"/>
      <c r="D200" s="101"/>
      <c r="E200" s="101"/>
      <c r="F200" s="101"/>
      <c r="G200" s="101"/>
      <c r="H200" s="101"/>
      <c r="I200" s="101"/>
      <c r="J200" s="101"/>
      <c r="K200" s="84"/>
      <c r="L200" s="84"/>
      <c r="M200" s="84"/>
    </row>
    <row r="201" spans="2:13">
      <c r="B201" s="101"/>
      <c r="C201" s="101"/>
      <c r="D201" s="101"/>
      <c r="E201" s="101"/>
      <c r="F201" s="101"/>
      <c r="G201" s="101"/>
      <c r="H201" s="101"/>
      <c r="I201" s="101"/>
      <c r="J201" s="101"/>
      <c r="K201" s="84"/>
      <c r="L201" s="84"/>
      <c r="M201" s="84"/>
    </row>
    <row r="202" spans="2:13">
      <c r="B202" s="101"/>
      <c r="C202" s="101"/>
      <c r="D202" s="101"/>
      <c r="E202" s="101"/>
      <c r="F202" s="101"/>
      <c r="G202" s="101"/>
      <c r="H202" s="101"/>
      <c r="I202" s="101"/>
      <c r="J202" s="101"/>
      <c r="K202" s="84"/>
      <c r="L202" s="84"/>
      <c r="M202" s="84"/>
    </row>
    <row r="203" spans="2:13">
      <c r="B203" s="101"/>
      <c r="C203" s="101"/>
      <c r="D203" s="101"/>
      <c r="E203" s="101"/>
      <c r="F203" s="101"/>
      <c r="G203" s="101"/>
      <c r="H203" s="101"/>
      <c r="I203" s="101"/>
      <c r="J203" s="101"/>
      <c r="K203" s="84"/>
      <c r="L203" s="84"/>
      <c r="M203" s="84"/>
    </row>
    <row r="204" spans="2:13">
      <c r="B204" s="101"/>
      <c r="C204" s="101"/>
      <c r="D204" s="101"/>
      <c r="E204" s="101"/>
      <c r="F204" s="101"/>
      <c r="G204" s="101"/>
      <c r="H204" s="101"/>
      <c r="I204" s="101"/>
      <c r="J204" s="101"/>
      <c r="K204" s="84"/>
      <c r="L204" s="84"/>
      <c r="M204" s="84"/>
    </row>
    <row r="205" spans="2:13">
      <c r="B205" s="101"/>
      <c r="C205" s="101"/>
      <c r="D205" s="101"/>
      <c r="E205" s="101"/>
      <c r="F205" s="101"/>
      <c r="G205" s="101"/>
      <c r="H205" s="101"/>
      <c r="I205" s="101"/>
      <c r="J205" s="101"/>
      <c r="K205" s="84"/>
      <c r="L205" s="84"/>
      <c r="M205" s="84"/>
    </row>
    <row r="206" spans="2:13">
      <c r="B206" s="101"/>
      <c r="C206" s="101"/>
      <c r="D206" s="101"/>
      <c r="E206" s="101"/>
      <c r="F206" s="101"/>
      <c r="G206" s="101"/>
      <c r="H206" s="101"/>
      <c r="I206" s="101"/>
      <c r="J206" s="101"/>
      <c r="K206" s="84"/>
      <c r="L206" s="84"/>
      <c r="M206" s="84"/>
    </row>
    <row r="207" spans="2:13">
      <c r="B207" s="101"/>
      <c r="C207" s="101"/>
      <c r="D207" s="101"/>
      <c r="E207" s="101"/>
      <c r="F207" s="101"/>
      <c r="G207" s="101"/>
      <c r="H207" s="101"/>
      <c r="I207" s="101"/>
      <c r="J207" s="101"/>
      <c r="K207" s="84"/>
      <c r="L207" s="84"/>
      <c r="M207" s="84"/>
    </row>
    <row r="208" spans="2:13">
      <c r="B208" s="101"/>
      <c r="C208" s="101"/>
      <c r="D208" s="101"/>
      <c r="E208" s="101"/>
      <c r="F208" s="101"/>
      <c r="G208" s="101"/>
      <c r="H208" s="101"/>
      <c r="I208" s="101"/>
      <c r="J208" s="101"/>
      <c r="K208" s="84"/>
      <c r="L208" s="84"/>
      <c r="M208" s="84"/>
    </row>
    <row r="209" spans="2:13">
      <c r="B209" s="101"/>
      <c r="C209" s="101"/>
      <c r="D209" s="101"/>
      <c r="E209" s="101"/>
      <c r="F209" s="101"/>
      <c r="G209" s="101"/>
      <c r="H209" s="101"/>
      <c r="I209" s="101"/>
      <c r="J209" s="101"/>
      <c r="K209" s="84"/>
      <c r="L209" s="84"/>
      <c r="M209" s="84"/>
    </row>
    <row r="210" spans="2:13">
      <c r="B210" s="101"/>
      <c r="C210" s="101"/>
      <c r="D210" s="101"/>
      <c r="E210" s="101"/>
      <c r="F210" s="101"/>
      <c r="G210" s="101"/>
      <c r="H210" s="101"/>
      <c r="I210" s="101"/>
      <c r="J210" s="101"/>
      <c r="K210" s="84"/>
      <c r="L210" s="84"/>
      <c r="M210" s="84"/>
    </row>
    <row r="211" spans="2:13">
      <c r="B211" s="101"/>
      <c r="C211" s="101"/>
      <c r="D211" s="101"/>
      <c r="E211" s="101"/>
      <c r="F211" s="101"/>
      <c r="G211" s="101"/>
      <c r="H211" s="101"/>
      <c r="I211" s="101"/>
      <c r="J211" s="101"/>
      <c r="K211" s="84"/>
      <c r="L211" s="84"/>
      <c r="M211" s="84"/>
    </row>
    <row r="212" spans="2:13">
      <c r="B212" s="101"/>
      <c r="C212" s="101"/>
      <c r="D212" s="101"/>
      <c r="E212" s="101"/>
      <c r="F212" s="101"/>
      <c r="G212" s="101"/>
      <c r="H212" s="101"/>
      <c r="I212" s="101"/>
      <c r="J212" s="101"/>
      <c r="K212" s="84"/>
      <c r="L212" s="84"/>
      <c r="M212" s="84"/>
    </row>
    <row r="213" spans="2:13">
      <c r="B213" s="101"/>
      <c r="C213" s="101"/>
      <c r="D213" s="101"/>
      <c r="E213" s="101"/>
      <c r="F213" s="101"/>
      <c r="G213" s="101"/>
      <c r="H213" s="101"/>
      <c r="I213" s="101"/>
      <c r="J213" s="101"/>
      <c r="K213" s="84"/>
      <c r="L213" s="84"/>
      <c r="M213" s="84"/>
    </row>
    <row r="214" spans="2:13">
      <c r="B214" s="101"/>
      <c r="C214" s="101"/>
      <c r="D214" s="101"/>
      <c r="E214" s="101"/>
      <c r="F214" s="101"/>
      <c r="G214" s="101"/>
      <c r="H214" s="101"/>
      <c r="I214" s="101"/>
      <c r="J214" s="101"/>
      <c r="K214" s="84"/>
      <c r="L214" s="84"/>
      <c r="M214" s="84"/>
    </row>
    <row r="215" spans="2:13">
      <c r="B215" s="101"/>
      <c r="C215" s="101"/>
      <c r="D215" s="101"/>
      <c r="E215" s="101"/>
      <c r="F215" s="101"/>
      <c r="G215" s="101"/>
      <c r="H215" s="101"/>
      <c r="I215" s="101"/>
      <c r="J215" s="101"/>
      <c r="K215" s="84"/>
      <c r="L215" s="84"/>
      <c r="M215" s="84"/>
    </row>
    <row r="216" spans="2:13">
      <c r="B216" s="101"/>
      <c r="C216" s="101"/>
      <c r="D216" s="101"/>
      <c r="E216" s="101"/>
      <c r="F216" s="101"/>
      <c r="G216" s="101"/>
      <c r="H216" s="101"/>
      <c r="I216" s="101"/>
      <c r="J216" s="101"/>
      <c r="K216" s="84"/>
      <c r="L216" s="84"/>
      <c r="M216" s="84"/>
    </row>
    <row r="217" spans="2:13">
      <c r="B217" s="101"/>
      <c r="C217" s="101"/>
      <c r="D217" s="101"/>
      <c r="E217" s="101"/>
      <c r="F217" s="101"/>
      <c r="G217" s="101"/>
      <c r="H217" s="101"/>
      <c r="I217" s="101"/>
      <c r="J217" s="101"/>
      <c r="K217" s="84"/>
      <c r="L217" s="84"/>
      <c r="M217" s="84"/>
    </row>
    <row r="218" spans="2:13">
      <c r="B218" s="101"/>
      <c r="C218" s="101"/>
      <c r="D218" s="101"/>
      <c r="E218" s="101"/>
      <c r="F218" s="101"/>
      <c r="G218" s="101"/>
      <c r="H218" s="101"/>
      <c r="I218" s="101"/>
      <c r="J218" s="101"/>
      <c r="K218" s="84"/>
      <c r="L218" s="84"/>
      <c r="M218" s="84"/>
    </row>
    <row r="219" spans="2:13">
      <c r="B219" s="101"/>
      <c r="C219" s="101"/>
      <c r="D219" s="101"/>
      <c r="E219" s="101"/>
      <c r="F219" s="101"/>
      <c r="G219" s="101"/>
      <c r="H219" s="101"/>
      <c r="I219" s="101"/>
      <c r="J219" s="101"/>
      <c r="K219" s="84"/>
      <c r="L219" s="84"/>
      <c r="M219" s="84"/>
    </row>
    <row r="220" spans="2:13">
      <c r="B220" s="101"/>
      <c r="C220" s="101"/>
      <c r="D220" s="101"/>
      <c r="E220" s="101"/>
      <c r="F220" s="101"/>
      <c r="G220" s="101"/>
      <c r="H220" s="101"/>
      <c r="I220" s="101"/>
      <c r="J220" s="101"/>
      <c r="K220" s="84"/>
      <c r="L220" s="84"/>
      <c r="M220" s="84"/>
    </row>
    <row r="221" spans="2:13">
      <c r="B221" s="101"/>
      <c r="C221" s="101"/>
      <c r="D221" s="101"/>
      <c r="E221" s="101"/>
      <c r="F221" s="101"/>
      <c r="G221" s="101"/>
      <c r="H221" s="101"/>
      <c r="I221" s="101"/>
      <c r="J221" s="101"/>
      <c r="K221" s="84"/>
      <c r="L221" s="84"/>
      <c r="M221" s="84"/>
    </row>
    <row r="222" spans="2:13">
      <c r="B222" s="101"/>
      <c r="C222" s="101"/>
      <c r="D222" s="101"/>
      <c r="E222" s="101"/>
      <c r="F222" s="101"/>
      <c r="G222" s="101"/>
      <c r="H222" s="101"/>
      <c r="I222" s="101"/>
      <c r="J222" s="101"/>
      <c r="K222" s="84"/>
      <c r="L222" s="84"/>
      <c r="M222" s="84"/>
    </row>
    <row r="223" spans="2:13">
      <c r="B223" s="101"/>
      <c r="C223" s="101"/>
      <c r="D223" s="101"/>
      <c r="E223" s="101"/>
      <c r="F223" s="101"/>
      <c r="G223" s="101"/>
      <c r="H223" s="101"/>
      <c r="I223" s="101"/>
      <c r="J223" s="101"/>
      <c r="K223" s="84"/>
      <c r="L223" s="84"/>
      <c r="M223" s="84"/>
    </row>
    <row r="224" spans="2:13">
      <c r="B224" s="101"/>
      <c r="C224" s="101"/>
      <c r="D224" s="101"/>
      <c r="E224" s="101"/>
      <c r="F224" s="101"/>
      <c r="G224" s="101"/>
      <c r="H224" s="101"/>
      <c r="I224" s="101"/>
      <c r="J224" s="101"/>
      <c r="K224" s="84"/>
      <c r="L224" s="84"/>
      <c r="M224" s="84"/>
    </row>
    <row r="225" spans="2:13">
      <c r="B225" s="101"/>
      <c r="C225" s="101"/>
      <c r="D225" s="101"/>
      <c r="E225" s="101"/>
      <c r="F225" s="101"/>
      <c r="G225" s="101"/>
      <c r="H225" s="101"/>
      <c r="I225" s="101"/>
      <c r="J225" s="101"/>
      <c r="K225" s="84"/>
      <c r="L225" s="84"/>
      <c r="M225" s="84"/>
    </row>
    <row r="226" spans="2:13"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</row>
    <row r="227" spans="2:13"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</row>
    <row r="228" spans="2:13"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</row>
    <row r="229" spans="2:13"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</row>
    <row r="230" spans="2:13"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</row>
    <row r="231" spans="2:13"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</row>
    <row r="232" spans="2:13"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</row>
    <row r="233" spans="2:13"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</row>
    <row r="234" spans="2:13"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</row>
    <row r="235" spans="2:13"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</row>
    <row r="236" spans="2:13"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</row>
    <row r="237" spans="2:13"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</row>
    <row r="238" spans="2:13"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</row>
    <row r="239" spans="2:13"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</row>
    <row r="240" spans="2:13"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</row>
    <row r="241" spans="2:13"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</row>
    <row r="242" spans="2:13"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</row>
    <row r="243" spans="2:13"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</row>
    <row r="244" spans="2:13"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</row>
    <row r="245" spans="2:13"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</row>
    <row r="246" spans="2:13"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</row>
    <row r="247" spans="2:13"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</row>
    <row r="248" spans="2:13"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</row>
    <row r="249" spans="2:13"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</row>
    <row r="250" spans="2:13"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</row>
    <row r="251" spans="2:13"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</row>
    <row r="252" spans="2:13"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</row>
    <row r="253" spans="2:13"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</row>
    <row r="254" spans="2:13"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</row>
    <row r="255" spans="2:13"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</row>
    <row r="256" spans="2:13"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</row>
    <row r="257" spans="2:13"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</row>
    <row r="258" spans="2:13"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</row>
    <row r="259" spans="2:13"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</row>
    <row r="260" spans="2:13"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</row>
    <row r="261" spans="2:13"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</row>
    <row r="262" spans="2:13"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</row>
    <row r="263" spans="2:13"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</row>
    <row r="264" spans="2:13"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</row>
    <row r="265" spans="2:13"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</row>
    <row r="266" spans="2:13"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</row>
    <row r="267" spans="2:13"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</row>
    <row r="268" spans="2:13"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</row>
    <row r="269" spans="2:13"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</row>
    <row r="270" spans="2:13"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</row>
    <row r="271" spans="2:13"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</row>
    <row r="272" spans="2:13"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</row>
    <row r="273" spans="2:13"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</row>
    <row r="274" spans="2:13"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</row>
    <row r="275" spans="2:13"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</row>
    <row r="276" spans="2:13"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</row>
    <row r="277" spans="2:13"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</row>
    <row r="278" spans="2:13"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</row>
    <row r="279" spans="2:13"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</row>
    <row r="280" spans="2:13"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</row>
    <row r="281" spans="2:13"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</row>
    <row r="282" spans="2:13"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</row>
    <row r="283" spans="2:13"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</row>
    <row r="284" spans="2:13"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</row>
    <row r="285" spans="2:13"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</row>
    <row r="286" spans="2:13"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</row>
    <row r="287" spans="2:13"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</row>
    <row r="288" spans="2:13"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</row>
    <row r="289" spans="2:13"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</row>
    <row r="290" spans="2:13"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</row>
    <row r="291" spans="2:13"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</row>
    <row r="292" spans="2:13"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</row>
    <row r="293" spans="2:13"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</row>
    <row r="294" spans="2:13"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</row>
    <row r="295" spans="2:13"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</row>
    <row r="296" spans="2:13"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</row>
    <row r="297" spans="2:13"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</row>
    <row r="298" spans="2:13"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</row>
    <row r="299" spans="2:13"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</row>
    <row r="300" spans="2:13"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</row>
    <row r="301" spans="2:13"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</row>
    <row r="302" spans="2:13"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</row>
    <row r="303" spans="2:13"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</row>
    <row r="304" spans="2:13"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</row>
    <row r="305" spans="2:13"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</row>
    <row r="306" spans="2:13"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</row>
    <row r="307" spans="2:13"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</row>
    <row r="308" spans="2:13"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</row>
    <row r="309" spans="2:13"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</row>
    <row r="310" spans="2:13"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</row>
    <row r="311" spans="2:13"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</row>
    <row r="312" spans="2:13"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</row>
    <row r="313" spans="2:13"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</row>
    <row r="314" spans="2:13"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</row>
    <row r="315" spans="2:13"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</row>
    <row r="316" spans="2:13"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</row>
    <row r="317" spans="2:13"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</row>
    <row r="318" spans="2:13"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</row>
    <row r="319" spans="2:13"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</row>
    <row r="320" spans="2:13"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</row>
    <row r="321" spans="2:13"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</row>
    <row r="322" spans="2:13"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</row>
    <row r="323" spans="2:13"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</row>
    <row r="324" spans="2:13"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</row>
    <row r="325" spans="2:13"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</row>
    <row r="326" spans="2:13"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</row>
    <row r="327" spans="2:13"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</row>
    <row r="328" spans="2:13"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</row>
    <row r="329" spans="2:13"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</row>
    <row r="330" spans="2:13"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</row>
    <row r="331" spans="2:13"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</row>
    <row r="332" spans="2:13"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</row>
    <row r="333" spans="2:13"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</row>
    <row r="334" spans="2:13"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</row>
    <row r="335" spans="2:13"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</row>
    <row r="336" spans="2:13"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</row>
    <row r="337" spans="2:13"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</row>
    <row r="338" spans="2:13"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</row>
    <row r="339" spans="2:13"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</row>
    <row r="340" spans="2:13"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</row>
    <row r="341" spans="2:13"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</row>
    <row r="342" spans="2:13"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</row>
    <row r="343" spans="2:13"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</row>
    <row r="344" spans="2:13"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</row>
    <row r="345" spans="2:13"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</row>
    <row r="346" spans="2:13"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</row>
    <row r="347" spans="2:13"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</row>
    <row r="348" spans="2:13"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</row>
    <row r="349" spans="2:13"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</row>
    <row r="350" spans="2:13"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</row>
    <row r="351" spans="2:13"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</row>
    <row r="352" spans="2:13"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</row>
    <row r="353" spans="2:13"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</row>
    <row r="354" spans="2:13"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</row>
    <row r="355" spans="2:13"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</row>
    <row r="356" spans="2:13"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</row>
    <row r="357" spans="2:13"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</row>
    <row r="358" spans="2:13"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</row>
    <row r="359" spans="2:13"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</row>
    <row r="360" spans="2:13"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</row>
    <row r="361" spans="2:13"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</row>
    <row r="362" spans="2:13"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</row>
    <row r="363" spans="2:13"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</row>
    <row r="364" spans="2:13"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</row>
    <row r="365" spans="2:13"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</row>
    <row r="366" spans="2:13"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</row>
    <row r="367" spans="2:13"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</row>
    <row r="368" spans="2:13"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</row>
    <row r="369" spans="2:13"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</row>
    <row r="370" spans="2:13"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</row>
    <row r="371" spans="2:13"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</row>
    <row r="372" spans="2:13"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</row>
    <row r="373" spans="2:13"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</row>
    <row r="374" spans="2:13"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</row>
    <row r="375" spans="2:13"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</row>
    <row r="376" spans="2:13"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</row>
    <row r="377" spans="2:13"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</row>
    <row r="378" spans="2:13"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</row>
    <row r="379" spans="2:13"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</row>
    <row r="380" spans="2:13"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</row>
    <row r="381" spans="2:13"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</row>
    <row r="382" spans="2:13"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</row>
    <row r="383" spans="2:13"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</row>
    <row r="384" spans="2:13"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</row>
    <row r="385" spans="2:13"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</row>
    <row r="386" spans="2:13"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</row>
    <row r="387" spans="2:13"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</row>
    <row r="388" spans="2:13"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</row>
    <row r="389" spans="2:13"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</row>
    <row r="390" spans="2:13"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</row>
    <row r="391" spans="2:13"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</row>
    <row r="392" spans="2:13"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</row>
    <row r="393" spans="2:13"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</row>
    <row r="394" spans="2:13"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</row>
    <row r="395" spans="2:13"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</row>
    <row r="396" spans="2:13"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</row>
    <row r="397" spans="2:13"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</row>
    <row r="398" spans="2:13"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</row>
    <row r="399" spans="2:13"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</row>
    <row r="400" spans="2:13"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</row>
    <row r="401" spans="2:13"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</row>
    <row r="402" spans="2:13"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</row>
    <row r="403" spans="2:13"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</row>
    <row r="404" spans="2:13"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</row>
    <row r="405" spans="2:13"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</row>
    <row r="406" spans="2:13"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</row>
    <row r="407" spans="2:13"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</row>
    <row r="408" spans="2:13"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</row>
    <row r="409" spans="2:13"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</row>
    <row r="410" spans="2:13"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</row>
    <row r="411" spans="2:13"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</row>
    <row r="412" spans="2:13"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</row>
    <row r="413" spans="2:13"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</row>
    <row r="414" spans="2:13"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</row>
    <row r="415" spans="2:13"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</row>
    <row r="416" spans="2:13"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</row>
    <row r="417" spans="2:13"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</row>
    <row r="418" spans="2:13"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</row>
    <row r="419" spans="2:13"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</row>
    <row r="420" spans="2:13"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</row>
    <row r="421" spans="2:13"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</row>
    <row r="422" spans="2:13"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</row>
    <row r="423" spans="2:13"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</row>
    <row r="424" spans="2:13"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</row>
    <row r="425" spans="2:13"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</row>
    <row r="426" spans="2:13"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</row>
    <row r="427" spans="2:13"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</row>
    <row r="428" spans="2:13"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</row>
    <row r="429" spans="2:13"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</row>
    <row r="430" spans="2:13"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</row>
    <row r="431" spans="2:13"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</row>
    <row r="432" spans="2:13"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</row>
    <row r="433" spans="2:13"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</row>
    <row r="434" spans="2:13"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</row>
    <row r="435" spans="2:13"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</row>
    <row r="436" spans="2:13"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</row>
    <row r="437" spans="2:13"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</row>
    <row r="438" spans="2:13"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</row>
    <row r="439" spans="2:13"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</row>
    <row r="440" spans="2:13"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</row>
    <row r="441" spans="2:13"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</row>
    <row r="442" spans="2:13"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</row>
    <row r="443" spans="2:13"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</row>
    <row r="444" spans="2:13"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</row>
    <row r="445" spans="2:13"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</row>
    <row r="446" spans="2:13"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</row>
    <row r="447" spans="2:13"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</row>
    <row r="448" spans="2:13"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</row>
    <row r="449" spans="2:13"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</row>
    <row r="450" spans="2:13"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</row>
    <row r="451" spans="2:13"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</row>
    <row r="452" spans="2:13"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</row>
    <row r="453" spans="2:13"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</row>
    <row r="454" spans="2:13"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</row>
    <row r="455" spans="2:13"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</row>
    <row r="456" spans="2:13"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</row>
    <row r="457" spans="2:13"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</row>
    <row r="458" spans="2:13"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</row>
    <row r="459" spans="2:13"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</row>
    <row r="460" spans="2:13"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</row>
    <row r="461" spans="2:13"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</row>
    <row r="462" spans="2:13"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</row>
    <row r="463" spans="2:13"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</row>
    <row r="464" spans="2:13"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</row>
    <row r="465" spans="2:13"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</row>
    <row r="466" spans="2:13"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</row>
    <row r="467" spans="2:13"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</row>
    <row r="468" spans="2:13"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</row>
  </sheetData>
  <mergeCells count="28">
    <mergeCell ref="B3:E3"/>
    <mergeCell ref="G3:J3"/>
    <mergeCell ref="L3:O3"/>
    <mergeCell ref="L27:O27"/>
    <mergeCell ref="B11:C11"/>
    <mergeCell ref="L11:M11"/>
    <mergeCell ref="B18:C18"/>
    <mergeCell ref="L18:M18"/>
    <mergeCell ref="L36:M36"/>
    <mergeCell ref="L28:O28"/>
    <mergeCell ref="Q3:T3"/>
    <mergeCell ref="Q27:T27"/>
    <mergeCell ref="L51:M51"/>
    <mergeCell ref="L50:M50"/>
    <mergeCell ref="B55:J55"/>
    <mergeCell ref="B56:J170"/>
    <mergeCell ref="G37:J37"/>
    <mergeCell ref="Q28:T28"/>
    <mergeCell ref="L25:M25"/>
    <mergeCell ref="B50:C50"/>
    <mergeCell ref="B43:C43"/>
    <mergeCell ref="B36:C36"/>
    <mergeCell ref="B28:E28"/>
    <mergeCell ref="L43:M43"/>
    <mergeCell ref="B26:C26"/>
    <mergeCell ref="B25:C25"/>
    <mergeCell ref="G28:J28"/>
    <mergeCell ref="B27:E27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170"/>
  <sheetViews>
    <sheetView topLeftCell="H9" zoomScale="90" zoomScaleNormal="90" workbookViewId="0">
      <selection activeCell="X29" sqref="X29"/>
    </sheetView>
  </sheetViews>
  <sheetFormatPr defaultRowHeight="16.5"/>
  <cols>
    <col min="11" max="11" width="11.625" customWidth="1"/>
    <col min="12" max="14" width="12.25" bestFit="1" customWidth="1"/>
  </cols>
  <sheetData>
    <row r="1" spans="2:21">
      <c r="B1" s="138" t="s">
        <v>53</v>
      </c>
      <c r="C1" s="138"/>
      <c r="D1" s="138"/>
      <c r="E1" s="138"/>
      <c r="F1" s="138"/>
      <c r="G1" s="138"/>
      <c r="H1" s="138"/>
      <c r="I1" s="138"/>
    </row>
    <row r="2" spans="2:21" ht="20.25">
      <c r="B2" s="138"/>
      <c r="C2" s="138"/>
      <c r="D2" s="138"/>
      <c r="E2" s="138"/>
      <c r="F2" s="138"/>
      <c r="G2" s="138"/>
      <c r="H2" s="138"/>
      <c r="I2" s="138"/>
      <c r="K2" s="54"/>
      <c r="L2" s="54"/>
      <c r="M2" s="54"/>
      <c r="N2" s="54"/>
      <c r="P2" s="135" t="s">
        <v>1086</v>
      </c>
      <c r="Q2" s="135"/>
      <c r="R2" s="135"/>
      <c r="S2" s="135"/>
      <c r="T2" s="135"/>
      <c r="U2" s="135"/>
    </row>
    <row r="3" spans="2:21" ht="16.5" customHeight="1">
      <c r="B3" s="137" t="s">
        <v>24</v>
      </c>
      <c r="C3" s="137"/>
      <c r="E3" s="137" t="s">
        <v>56</v>
      </c>
      <c r="F3" s="137"/>
      <c r="H3" s="104" t="s">
        <v>13</v>
      </c>
      <c r="I3" s="104"/>
      <c r="K3" s="39"/>
      <c r="L3" s="39"/>
      <c r="M3" s="39"/>
      <c r="N3" s="39"/>
      <c r="P3" s="136" t="s">
        <v>1099</v>
      </c>
      <c r="Q3" s="136"/>
      <c r="R3" s="136"/>
      <c r="S3" s="136"/>
      <c r="T3" s="136"/>
      <c r="U3" s="136"/>
    </row>
    <row r="4" spans="2:21">
      <c r="B4" s="50" t="s">
        <v>54</v>
      </c>
      <c r="C4" s="50" t="s">
        <v>55</v>
      </c>
      <c r="E4" s="50" t="s">
        <v>57</v>
      </c>
      <c r="F4" s="50" t="s">
        <v>58</v>
      </c>
      <c r="H4" s="50" t="s">
        <v>54</v>
      </c>
      <c r="I4" s="50" t="s">
        <v>55</v>
      </c>
      <c r="K4" s="40"/>
      <c r="L4" s="58"/>
      <c r="M4" s="58"/>
      <c r="N4" s="58"/>
      <c r="P4" s="136"/>
      <c r="Q4" s="136"/>
      <c r="R4" s="136"/>
      <c r="S4" s="136"/>
      <c r="T4" s="136"/>
      <c r="U4" s="136"/>
    </row>
    <row r="5" spans="2:21">
      <c r="B5" s="4">
        <v>1599000</v>
      </c>
      <c r="C5" s="4">
        <v>7</v>
      </c>
      <c r="E5" s="4">
        <v>1499000</v>
      </c>
      <c r="F5" s="4">
        <v>12</v>
      </c>
      <c r="H5" s="4">
        <v>1556000</v>
      </c>
      <c r="I5" s="4">
        <v>28</v>
      </c>
      <c r="K5" s="40"/>
      <c r="L5" s="58"/>
      <c r="M5" s="58"/>
      <c r="N5" s="58"/>
      <c r="P5" s="136"/>
      <c r="Q5" s="136"/>
      <c r="R5" s="136"/>
      <c r="S5" s="136"/>
      <c r="T5" s="136"/>
      <c r="U5" s="136"/>
    </row>
    <row r="6" spans="2:21">
      <c r="B6" s="4">
        <v>1479000</v>
      </c>
      <c r="C6" s="4">
        <v>7</v>
      </c>
      <c r="E6" s="4">
        <v>1449000</v>
      </c>
      <c r="F6" s="4">
        <v>41</v>
      </c>
      <c r="H6" s="4">
        <v>1549000</v>
      </c>
      <c r="I6" s="4">
        <v>18</v>
      </c>
      <c r="K6" s="40"/>
      <c r="L6" s="58"/>
      <c r="M6" s="58"/>
      <c r="N6" s="58"/>
      <c r="P6" s="136"/>
      <c r="Q6" s="136"/>
      <c r="R6" s="136"/>
      <c r="S6" s="136"/>
      <c r="T6" s="136"/>
      <c r="U6" s="136"/>
    </row>
    <row r="7" spans="2:21">
      <c r="B7" s="4">
        <v>1449000</v>
      </c>
      <c r="C7" s="4">
        <v>7</v>
      </c>
      <c r="E7" s="4">
        <v>1399000</v>
      </c>
      <c r="F7" s="4">
        <v>22</v>
      </c>
      <c r="H7" s="4">
        <v>1449000</v>
      </c>
      <c r="I7" s="4">
        <v>20</v>
      </c>
      <c r="K7" s="40"/>
      <c r="L7" s="58"/>
      <c r="M7" s="58"/>
      <c r="N7" s="58"/>
      <c r="P7" s="136"/>
      <c r="Q7" s="136"/>
      <c r="R7" s="136"/>
      <c r="S7" s="136"/>
      <c r="T7" s="136"/>
      <c r="U7" s="136"/>
    </row>
    <row r="8" spans="2:21">
      <c r="B8" s="4">
        <v>1429000</v>
      </c>
      <c r="C8" s="4">
        <v>6</v>
      </c>
      <c r="E8" s="4">
        <v>1369000</v>
      </c>
      <c r="F8" s="4">
        <v>6</v>
      </c>
      <c r="H8" s="4">
        <v>1429000</v>
      </c>
      <c r="I8" s="4">
        <v>2</v>
      </c>
      <c r="K8" s="40"/>
      <c r="L8" s="62"/>
      <c r="M8" s="62"/>
      <c r="N8" s="62"/>
      <c r="P8" s="136"/>
      <c r="Q8" s="136"/>
      <c r="R8" s="136"/>
      <c r="S8" s="136"/>
      <c r="T8" s="136"/>
      <c r="U8" s="136"/>
    </row>
    <row r="9" spans="2:21">
      <c r="B9" s="4">
        <v>1399000</v>
      </c>
      <c r="C9" s="4">
        <v>24</v>
      </c>
      <c r="E9" s="4">
        <v>1350000</v>
      </c>
      <c r="F9" s="4">
        <v>3</v>
      </c>
      <c r="H9" s="4">
        <v>1399000</v>
      </c>
      <c r="I9" s="4">
        <v>16</v>
      </c>
      <c r="L9" s="5"/>
      <c r="P9" s="136"/>
      <c r="Q9" s="136"/>
      <c r="R9" s="136"/>
      <c r="S9" s="136"/>
      <c r="T9" s="136"/>
      <c r="U9" s="136"/>
    </row>
    <row r="10" spans="2:21" ht="20.25">
      <c r="B10" s="4">
        <v>1349000</v>
      </c>
      <c r="C10" s="4">
        <v>35</v>
      </c>
      <c r="E10" s="4">
        <v>1349000</v>
      </c>
      <c r="F10" s="4">
        <v>4</v>
      </c>
      <c r="H10" s="4">
        <v>1390000</v>
      </c>
      <c r="I10" s="4">
        <v>93</v>
      </c>
      <c r="K10" s="54"/>
      <c r="L10" s="54"/>
      <c r="M10" s="54"/>
      <c r="N10" s="54"/>
      <c r="P10" s="136"/>
      <c r="Q10" s="136"/>
      <c r="R10" s="136"/>
      <c r="S10" s="136"/>
      <c r="T10" s="136"/>
      <c r="U10" s="136"/>
    </row>
    <row r="11" spans="2:21">
      <c r="B11" s="4">
        <v>1327000</v>
      </c>
      <c r="C11" s="4">
        <v>3</v>
      </c>
      <c r="E11" s="4">
        <v>1325000</v>
      </c>
      <c r="F11" s="4">
        <v>2</v>
      </c>
      <c r="H11" s="4">
        <v>1369000</v>
      </c>
      <c r="I11" s="4">
        <v>7</v>
      </c>
      <c r="K11" s="39"/>
      <c r="L11" s="39"/>
      <c r="M11" s="39"/>
      <c r="N11" s="39"/>
      <c r="P11" s="136"/>
      <c r="Q11" s="136"/>
      <c r="R11" s="136"/>
      <c r="S11" s="136"/>
      <c r="T11" s="136"/>
      <c r="U11" s="136"/>
    </row>
    <row r="12" spans="2:21">
      <c r="B12" s="4">
        <v>1299000</v>
      </c>
      <c r="C12" s="4">
        <v>68</v>
      </c>
      <c r="E12" s="4">
        <v>1299000</v>
      </c>
      <c r="F12" s="4">
        <v>32</v>
      </c>
      <c r="H12" s="4">
        <v>1353000</v>
      </c>
      <c r="I12" s="4">
        <v>6</v>
      </c>
      <c r="K12" s="40"/>
      <c r="L12" s="87"/>
      <c r="M12" s="87"/>
      <c r="N12" s="87"/>
      <c r="P12" s="136"/>
      <c r="Q12" s="136"/>
      <c r="R12" s="136"/>
      <c r="S12" s="136"/>
      <c r="T12" s="136"/>
      <c r="U12" s="136"/>
    </row>
    <row r="13" spans="2:21">
      <c r="B13" s="4">
        <v>1290000</v>
      </c>
      <c r="C13" s="4">
        <v>1</v>
      </c>
      <c r="E13" s="4">
        <v>1289000</v>
      </c>
      <c r="F13" s="4">
        <v>17</v>
      </c>
      <c r="H13" s="4">
        <v>1349000</v>
      </c>
      <c r="I13" s="4">
        <v>4</v>
      </c>
      <c r="K13" s="40"/>
      <c r="L13" s="87"/>
      <c r="M13" s="87"/>
      <c r="N13" s="87"/>
      <c r="P13" s="136"/>
      <c r="Q13" s="136"/>
      <c r="R13" s="136"/>
      <c r="S13" s="136"/>
      <c r="T13" s="136"/>
      <c r="U13" s="136"/>
    </row>
    <row r="14" spans="2:21">
      <c r="B14" s="4">
        <v>1289000</v>
      </c>
      <c r="C14" s="4">
        <v>18</v>
      </c>
      <c r="E14" s="4">
        <v>1269000</v>
      </c>
      <c r="F14" s="4">
        <v>6</v>
      </c>
      <c r="H14" s="4">
        <v>1329000</v>
      </c>
      <c r="I14" s="4">
        <v>14</v>
      </c>
      <c r="K14" s="40"/>
      <c r="L14" s="87"/>
      <c r="M14" s="87"/>
      <c r="N14" s="87"/>
      <c r="P14" s="136"/>
      <c r="Q14" s="136"/>
      <c r="R14" s="136"/>
      <c r="S14" s="136"/>
      <c r="T14" s="136"/>
      <c r="U14" s="136"/>
    </row>
    <row r="15" spans="2:21">
      <c r="B15" s="4">
        <v>1260000</v>
      </c>
      <c r="C15" s="4">
        <v>6</v>
      </c>
      <c r="E15" s="4">
        <v>1249000</v>
      </c>
      <c r="F15" s="4">
        <v>139</v>
      </c>
      <c r="H15" s="4">
        <v>1300000</v>
      </c>
      <c r="I15" s="4">
        <v>4</v>
      </c>
      <c r="K15" s="40"/>
      <c r="L15" s="87"/>
      <c r="M15" s="87"/>
      <c r="N15" s="87"/>
      <c r="P15" s="136"/>
      <c r="Q15" s="136"/>
      <c r="R15" s="136"/>
      <c r="S15" s="136"/>
      <c r="T15" s="136"/>
      <c r="U15" s="136"/>
    </row>
    <row r="16" spans="2:21">
      <c r="B16" s="4">
        <v>1249000</v>
      </c>
      <c r="C16" s="4">
        <v>128</v>
      </c>
      <c r="E16" s="4">
        <v>1199000</v>
      </c>
      <c r="F16" s="4">
        <v>119</v>
      </c>
      <c r="H16" s="4">
        <v>1299000</v>
      </c>
      <c r="I16" s="4">
        <v>22</v>
      </c>
      <c r="K16" s="40"/>
      <c r="L16" s="88"/>
      <c r="M16" s="88"/>
      <c r="N16" s="88"/>
      <c r="P16" s="136"/>
      <c r="Q16" s="136"/>
      <c r="R16" s="136"/>
      <c r="S16" s="136"/>
      <c r="T16" s="136"/>
      <c r="U16" s="136"/>
    </row>
    <row r="17" spans="2:21">
      <c r="B17" s="4">
        <v>1240000</v>
      </c>
      <c r="C17" s="4">
        <v>6</v>
      </c>
      <c r="E17" s="4">
        <v>1190000</v>
      </c>
      <c r="F17" s="4">
        <v>9</v>
      </c>
      <c r="H17" s="4">
        <v>1290000</v>
      </c>
      <c r="I17" s="4">
        <v>2</v>
      </c>
      <c r="P17" s="136"/>
      <c r="Q17" s="136"/>
      <c r="R17" s="136"/>
      <c r="S17" s="136"/>
      <c r="T17" s="136"/>
      <c r="U17" s="136"/>
    </row>
    <row r="18" spans="2:21">
      <c r="B18" s="4">
        <v>1239000</v>
      </c>
      <c r="C18" s="4">
        <v>6</v>
      </c>
      <c r="E18" s="4">
        <v>1189000</v>
      </c>
      <c r="F18" s="4">
        <v>108</v>
      </c>
      <c r="H18" s="4">
        <v>1269000</v>
      </c>
      <c r="I18" s="4">
        <v>33</v>
      </c>
      <c r="P18" s="136"/>
      <c r="Q18" s="136"/>
      <c r="R18" s="136"/>
      <c r="S18" s="136"/>
      <c r="T18" s="136"/>
      <c r="U18" s="136"/>
    </row>
    <row r="19" spans="2:21">
      <c r="B19" s="4">
        <v>1230000</v>
      </c>
      <c r="C19" s="4">
        <v>8</v>
      </c>
      <c r="E19" s="4">
        <v>1179000</v>
      </c>
      <c r="F19" s="4">
        <v>10</v>
      </c>
      <c r="H19" s="4">
        <v>1249000</v>
      </c>
      <c r="I19" s="4">
        <v>16</v>
      </c>
      <c r="P19" s="136"/>
      <c r="Q19" s="136"/>
      <c r="R19" s="136"/>
      <c r="S19" s="136"/>
      <c r="T19" s="136"/>
      <c r="U19" s="136"/>
    </row>
    <row r="20" spans="2:21">
      <c r="B20" s="4">
        <v>1229000</v>
      </c>
      <c r="C20" s="4">
        <v>32</v>
      </c>
      <c r="E20" s="4">
        <v>1169000</v>
      </c>
      <c r="F20" s="4">
        <v>10</v>
      </c>
      <c r="H20" s="4">
        <v>1209000</v>
      </c>
      <c r="I20" s="4">
        <v>6</v>
      </c>
      <c r="P20" s="136"/>
      <c r="Q20" s="136"/>
      <c r="R20" s="136"/>
      <c r="S20" s="136"/>
      <c r="T20" s="136"/>
      <c r="U20" s="136"/>
    </row>
    <row r="21" spans="2:21" ht="20.25">
      <c r="B21" s="4">
        <v>1219000</v>
      </c>
      <c r="C21" s="4">
        <v>15</v>
      </c>
      <c r="E21" s="4">
        <v>1159000</v>
      </c>
      <c r="F21" s="4">
        <v>1</v>
      </c>
      <c r="H21" s="4">
        <v>1199000</v>
      </c>
      <c r="I21" s="4">
        <v>32</v>
      </c>
      <c r="K21" s="139" t="s">
        <v>74</v>
      </c>
      <c r="L21" s="139"/>
      <c r="M21" s="139"/>
      <c r="N21" s="139"/>
      <c r="P21" s="136"/>
      <c r="Q21" s="136"/>
      <c r="R21" s="136"/>
      <c r="S21" s="136"/>
      <c r="T21" s="136"/>
      <c r="U21" s="136"/>
    </row>
    <row r="22" spans="2:21">
      <c r="B22" s="4">
        <v>1209000</v>
      </c>
      <c r="C22" s="4">
        <v>39</v>
      </c>
      <c r="E22" s="4">
        <v>1149000</v>
      </c>
      <c r="F22" s="4">
        <v>23</v>
      </c>
      <c r="H22" s="4">
        <v>1190000</v>
      </c>
      <c r="I22" s="4">
        <v>74</v>
      </c>
      <c r="K22" s="9" t="s">
        <v>32</v>
      </c>
      <c r="L22" s="9" t="s">
        <v>33</v>
      </c>
      <c r="M22" s="9" t="s">
        <v>35</v>
      </c>
      <c r="N22" s="9" t="s">
        <v>35</v>
      </c>
      <c r="P22" s="136"/>
      <c r="Q22" s="136"/>
      <c r="R22" s="136"/>
      <c r="S22" s="136"/>
      <c r="T22" s="136"/>
      <c r="U22" s="136"/>
    </row>
    <row r="23" spans="2:21">
      <c r="B23" s="4">
        <v>1199000</v>
      </c>
      <c r="C23" s="4">
        <v>64</v>
      </c>
      <c r="E23" s="4">
        <v>1109000</v>
      </c>
      <c r="F23" s="4">
        <v>15</v>
      </c>
      <c r="H23" s="4">
        <v>1180000</v>
      </c>
      <c r="I23" s="4">
        <v>6</v>
      </c>
      <c r="K23" s="38" t="s">
        <v>131</v>
      </c>
      <c r="L23" s="11">
        <f>SUM(C160:C168)</f>
        <v>32</v>
      </c>
      <c r="M23" s="11">
        <f>SUM(F73:F77)</f>
        <v>472</v>
      </c>
      <c r="N23" s="11">
        <f>SUM(I123:I131)</f>
        <v>40</v>
      </c>
      <c r="P23" s="136"/>
      <c r="Q23" s="136"/>
      <c r="R23" s="136"/>
      <c r="S23" s="136"/>
      <c r="T23" s="136"/>
      <c r="U23" s="136"/>
    </row>
    <row r="24" spans="2:21">
      <c r="B24" s="4">
        <v>1198000</v>
      </c>
      <c r="C24" s="4">
        <v>2</v>
      </c>
      <c r="E24" s="4">
        <v>1099000</v>
      </c>
      <c r="F24" s="4">
        <v>125</v>
      </c>
      <c r="H24" s="4">
        <v>1149000</v>
      </c>
      <c r="I24" s="4">
        <v>47</v>
      </c>
      <c r="K24" s="38" t="s">
        <v>132</v>
      </c>
      <c r="L24" s="11">
        <f>SUM(C113:C159)</f>
        <v>691</v>
      </c>
      <c r="M24" s="11">
        <f>SUM(F53:F72)</f>
        <v>1193</v>
      </c>
      <c r="N24" s="11">
        <f>SUM(I77:I122)</f>
        <v>2711</v>
      </c>
      <c r="P24" s="136"/>
      <c r="Q24" s="136"/>
      <c r="R24" s="136"/>
      <c r="S24" s="136"/>
      <c r="T24" s="136"/>
      <c r="U24" s="136"/>
    </row>
    <row r="25" spans="2:21">
      <c r="B25" s="4">
        <v>1189000</v>
      </c>
      <c r="C25" s="4">
        <v>6</v>
      </c>
      <c r="E25" s="4">
        <v>1079000</v>
      </c>
      <c r="F25" s="4">
        <v>9</v>
      </c>
      <c r="H25" s="4">
        <v>1140000</v>
      </c>
      <c r="I25" s="4">
        <v>10</v>
      </c>
      <c r="K25" s="38" t="s">
        <v>133</v>
      </c>
      <c r="L25" s="11">
        <f>SUM(C64:C112)</f>
        <v>1471</v>
      </c>
      <c r="M25" s="11">
        <f>SUM(F35:F52)</f>
        <v>871</v>
      </c>
      <c r="N25" s="11">
        <f>SUM(I48:I76)</f>
        <v>1774</v>
      </c>
      <c r="P25" s="136"/>
      <c r="Q25" s="136"/>
      <c r="R25" s="136"/>
      <c r="S25" s="136"/>
      <c r="T25" s="136"/>
      <c r="U25" s="136"/>
    </row>
    <row r="26" spans="2:21">
      <c r="B26" s="4">
        <v>1180000</v>
      </c>
      <c r="C26" s="4">
        <v>7</v>
      </c>
      <c r="E26" s="4">
        <v>1069000</v>
      </c>
      <c r="F26" s="4">
        <v>8</v>
      </c>
      <c r="H26" s="4">
        <v>1100000</v>
      </c>
      <c r="I26" s="4">
        <v>1</v>
      </c>
      <c r="K26" s="38" t="s">
        <v>134</v>
      </c>
      <c r="L26" s="11">
        <f>SUM(C23:C63)</f>
        <v>928</v>
      </c>
      <c r="M26" s="11">
        <f>SUM(F16:F34)</f>
        <v>920</v>
      </c>
      <c r="N26" s="11">
        <f>SUM(I21:I47)</f>
        <v>618</v>
      </c>
      <c r="P26" s="136"/>
      <c r="Q26" s="136"/>
      <c r="R26" s="136"/>
      <c r="S26" s="136"/>
      <c r="T26" s="136"/>
      <c r="U26" s="136"/>
    </row>
    <row r="27" spans="2:21">
      <c r="B27" s="4">
        <v>1179000</v>
      </c>
      <c r="C27" s="4">
        <v>11</v>
      </c>
      <c r="E27" s="4">
        <v>1049000</v>
      </c>
      <c r="F27" s="4">
        <v>178</v>
      </c>
      <c r="H27" s="4">
        <v>1099000</v>
      </c>
      <c r="I27" s="4">
        <v>127</v>
      </c>
      <c r="K27" s="12" t="s">
        <v>135</v>
      </c>
      <c r="L27" s="20">
        <f>SUM(C5:C22)</f>
        <v>416</v>
      </c>
      <c r="M27" s="20">
        <f>SUM(F5:F15)</f>
        <v>284</v>
      </c>
      <c r="N27" s="20">
        <f>SUM(I5:I20)</f>
        <v>291</v>
      </c>
      <c r="P27" s="136"/>
      <c r="Q27" s="136"/>
      <c r="R27" s="136"/>
      <c r="S27" s="136"/>
      <c r="T27" s="136"/>
      <c r="U27" s="136"/>
    </row>
    <row r="28" spans="2:21">
      <c r="B28" s="4">
        <v>1173000</v>
      </c>
      <c r="C28" s="4">
        <v>3</v>
      </c>
      <c r="E28" s="4">
        <v>1029000</v>
      </c>
      <c r="F28" s="4">
        <v>1</v>
      </c>
      <c r="H28" s="4">
        <v>1090000</v>
      </c>
      <c r="I28" s="4">
        <v>12</v>
      </c>
      <c r="K28" s="12" t="s">
        <v>23</v>
      </c>
      <c r="L28" s="20">
        <f>SUM(L23:L27)</f>
        <v>3538</v>
      </c>
      <c r="M28" s="20">
        <f>SUM(M23:M27)</f>
        <v>3740</v>
      </c>
      <c r="N28" s="20">
        <f>SUM(N23:N27)</f>
        <v>5434</v>
      </c>
      <c r="P28" s="136"/>
      <c r="Q28" s="136"/>
      <c r="R28" s="136"/>
      <c r="S28" s="136"/>
      <c r="T28" s="136"/>
      <c r="U28" s="136"/>
    </row>
    <row r="29" spans="2:21">
      <c r="B29" s="4">
        <v>1169000</v>
      </c>
      <c r="C29" s="4">
        <v>10</v>
      </c>
      <c r="E29" s="4">
        <v>1009000</v>
      </c>
      <c r="F29" s="4">
        <v>9</v>
      </c>
      <c r="H29" s="4">
        <v>1080000</v>
      </c>
      <c r="I29" s="4">
        <v>10</v>
      </c>
      <c r="P29" s="136"/>
      <c r="Q29" s="136"/>
      <c r="R29" s="136"/>
      <c r="S29" s="136"/>
      <c r="T29" s="136"/>
      <c r="U29" s="136"/>
    </row>
    <row r="30" spans="2:21" ht="20.25">
      <c r="B30" s="4">
        <v>1168000</v>
      </c>
      <c r="C30" s="4">
        <v>2</v>
      </c>
      <c r="E30" s="4">
        <v>1004000</v>
      </c>
      <c r="F30" s="4">
        <v>4</v>
      </c>
      <c r="H30" s="4">
        <v>1070000</v>
      </c>
      <c r="I30" s="4">
        <v>17</v>
      </c>
      <c r="K30" s="139" t="s">
        <v>73</v>
      </c>
      <c r="L30" s="139"/>
      <c r="M30" s="139"/>
      <c r="N30" s="139"/>
      <c r="P30" s="136"/>
      <c r="Q30" s="136"/>
      <c r="R30" s="136"/>
      <c r="S30" s="136"/>
      <c r="T30" s="136"/>
      <c r="U30" s="136"/>
    </row>
    <row r="31" spans="2:21">
      <c r="B31" s="4">
        <v>1160000</v>
      </c>
      <c r="C31" s="4">
        <v>4</v>
      </c>
      <c r="E31" s="4">
        <v>999000</v>
      </c>
      <c r="F31" s="4">
        <v>141</v>
      </c>
      <c r="H31" s="4">
        <v>1069000</v>
      </c>
      <c r="I31" s="4">
        <v>8</v>
      </c>
      <c r="K31" s="9" t="s">
        <v>17</v>
      </c>
      <c r="L31" s="9" t="s">
        <v>33</v>
      </c>
      <c r="M31" s="9" t="s">
        <v>12</v>
      </c>
      <c r="N31" s="9" t="s">
        <v>35</v>
      </c>
      <c r="P31" s="136"/>
      <c r="Q31" s="136"/>
      <c r="R31" s="136"/>
      <c r="S31" s="136"/>
      <c r="T31" s="136"/>
      <c r="U31" s="136"/>
    </row>
    <row r="32" spans="2:21">
      <c r="B32" s="4">
        <v>1149000</v>
      </c>
      <c r="C32" s="4">
        <v>139</v>
      </c>
      <c r="E32" s="4">
        <v>979000</v>
      </c>
      <c r="F32" s="4">
        <v>2</v>
      </c>
      <c r="H32" s="4">
        <v>1059000</v>
      </c>
      <c r="I32" s="4">
        <v>4</v>
      </c>
      <c r="K32" s="38" t="s">
        <v>131</v>
      </c>
      <c r="L32" s="46">
        <f>L23/L28</f>
        <v>9.0446579988694171E-3</v>
      </c>
      <c r="M32" s="46">
        <f>M23/M28</f>
        <v>0.12620320855614972</v>
      </c>
      <c r="N32" s="46">
        <f>N23/N28</f>
        <v>7.3610599926389403E-3</v>
      </c>
      <c r="P32" s="136"/>
      <c r="Q32" s="136"/>
      <c r="R32" s="136"/>
      <c r="S32" s="136"/>
      <c r="T32" s="136"/>
      <c r="U32" s="136"/>
    </row>
    <row r="33" spans="2:21">
      <c r="B33" s="4">
        <v>1139000</v>
      </c>
      <c r="C33" s="4">
        <v>2</v>
      </c>
      <c r="E33" s="4">
        <v>949000</v>
      </c>
      <c r="F33" s="4">
        <v>147</v>
      </c>
      <c r="H33" s="4">
        <v>1049000</v>
      </c>
      <c r="I33" s="4">
        <v>14</v>
      </c>
      <c r="K33" s="38" t="s">
        <v>132</v>
      </c>
      <c r="L33" s="46">
        <f>L24/L28</f>
        <v>0.1953080836630865</v>
      </c>
      <c r="M33" s="46">
        <f>M24/M28</f>
        <v>0.31898395721925132</v>
      </c>
      <c r="N33" s="46">
        <f>N24/N28</f>
        <v>0.49889584100110418</v>
      </c>
      <c r="P33" s="136"/>
      <c r="Q33" s="136"/>
      <c r="R33" s="136"/>
      <c r="S33" s="136"/>
      <c r="T33" s="136"/>
      <c r="U33" s="136"/>
    </row>
    <row r="34" spans="2:21">
      <c r="B34" s="4">
        <v>1130000</v>
      </c>
      <c r="C34" s="4">
        <v>4</v>
      </c>
      <c r="E34" s="4">
        <v>929000</v>
      </c>
      <c r="F34" s="4">
        <v>1</v>
      </c>
      <c r="H34" s="4">
        <v>1030000</v>
      </c>
      <c r="I34" s="4">
        <v>6</v>
      </c>
      <c r="K34" s="38" t="s">
        <v>133</v>
      </c>
      <c r="L34" s="46">
        <f>L25/L28</f>
        <v>0.41577162238552856</v>
      </c>
      <c r="M34" s="46">
        <f>M25/M28</f>
        <v>0.23288770053475935</v>
      </c>
      <c r="N34" s="46">
        <f>N25/N28</f>
        <v>0.326463010673537</v>
      </c>
      <c r="P34" s="136"/>
      <c r="Q34" s="136"/>
      <c r="R34" s="136"/>
      <c r="S34" s="136"/>
      <c r="T34" s="136"/>
      <c r="U34" s="136"/>
    </row>
    <row r="35" spans="2:21">
      <c r="B35" s="4">
        <v>1129000</v>
      </c>
      <c r="C35" s="4">
        <v>21</v>
      </c>
      <c r="E35" s="4">
        <v>899000</v>
      </c>
      <c r="F35" s="4">
        <v>95</v>
      </c>
      <c r="H35" s="4">
        <v>1029000</v>
      </c>
      <c r="I35" s="4">
        <v>9</v>
      </c>
      <c r="K35" s="38" t="s">
        <v>134</v>
      </c>
      <c r="L35" s="46">
        <f>L26/L28</f>
        <v>0.26229508196721313</v>
      </c>
      <c r="M35" s="46">
        <f>M26/M28</f>
        <v>0.24598930481283424</v>
      </c>
      <c r="N35" s="46">
        <f>N26/N28</f>
        <v>0.11372837688627162</v>
      </c>
      <c r="P35" s="136"/>
      <c r="Q35" s="136"/>
      <c r="R35" s="136"/>
      <c r="S35" s="136"/>
      <c r="T35" s="136"/>
      <c r="U35" s="136"/>
    </row>
    <row r="36" spans="2:21">
      <c r="B36" s="4">
        <v>1119000</v>
      </c>
      <c r="C36" s="4">
        <v>34</v>
      </c>
      <c r="E36" s="4">
        <v>890000</v>
      </c>
      <c r="F36" s="4">
        <v>7</v>
      </c>
      <c r="H36" s="4">
        <v>1019000</v>
      </c>
      <c r="I36" s="4">
        <v>8</v>
      </c>
      <c r="K36" s="12" t="s">
        <v>135</v>
      </c>
      <c r="L36" s="46">
        <f>L27/L28</f>
        <v>0.11758055398530243</v>
      </c>
      <c r="M36" s="46">
        <f>M27/M28</f>
        <v>7.5935828877005354E-2</v>
      </c>
      <c r="N36" s="46">
        <f>N27/N28</f>
        <v>5.355171144644829E-2</v>
      </c>
      <c r="P36" s="136"/>
      <c r="Q36" s="136"/>
      <c r="R36" s="136"/>
      <c r="S36" s="136"/>
      <c r="T36" s="136"/>
      <c r="U36" s="136"/>
    </row>
    <row r="37" spans="2:21">
      <c r="B37" s="4">
        <v>1109000</v>
      </c>
      <c r="C37" s="4">
        <v>2</v>
      </c>
      <c r="E37" s="4">
        <v>870000</v>
      </c>
      <c r="F37" s="4">
        <v>1</v>
      </c>
      <c r="H37" s="4">
        <v>999000</v>
      </c>
      <c r="I37" s="4">
        <v>52</v>
      </c>
      <c r="K37" s="12" t="s">
        <v>23</v>
      </c>
      <c r="L37" s="8">
        <f>SUM(L32:L36)</f>
        <v>1</v>
      </c>
      <c r="M37" s="8">
        <f>M36+M35+M34+M33+M32</f>
        <v>1</v>
      </c>
      <c r="N37" s="8">
        <f>SUM(N32:N36)</f>
        <v>1</v>
      </c>
      <c r="P37" s="136"/>
      <c r="Q37" s="136"/>
      <c r="R37" s="136"/>
      <c r="S37" s="136"/>
      <c r="T37" s="136"/>
      <c r="U37" s="136"/>
    </row>
    <row r="38" spans="2:21">
      <c r="B38" s="4">
        <v>1100000</v>
      </c>
      <c r="C38" s="4">
        <v>2</v>
      </c>
      <c r="E38" s="4">
        <v>869000</v>
      </c>
      <c r="F38" s="4">
        <v>3</v>
      </c>
      <c r="H38" s="4">
        <v>995000</v>
      </c>
      <c r="I38" s="4">
        <v>13</v>
      </c>
      <c r="P38" s="136"/>
      <c r="Q38" s="136"/>
      <c r="R38" s="136"/>
      <c r="S38" s="136"/>
      <c r="T38" s="136"/>
      <c r="U38" s="136"/>
    </row>
    <row r="39" spans="2:21">
      <c r="B39" s="4">
        <v>1099000</v>
      </c>
      <c r="C39" s="4">
        <v>59</v>
      </c>
      <c r="E39" s="4">
        <v>849000</v>
      </c>
      <c r="F39" s="4">
        <v>169</v>
      </c>
      <c r="H39" s="4">
        <v>979000</v>
      </c>
      <c r="I39" s="4">
        <v>2</v>
      </c>
      <c r="P39" s="136"/>
      <c r="Q39" s="136"/>
      <c r="R39" s="136"/>
      <c r="S39" s="136"/>
      <c r="T39" s="136"/>
      <c r="U39" s="136"/>
    </row>
    <row r="40" spans="2:21">
      <c r="B40" s="4">
        <v>1090000</v>
      </c>
      <c r="C40" s="4">
        <v>3</v>
      </c>
      <c r="E40" s="4">
        <v>840000</v>
      </c>
      <c r="F40" s="4">
        <v>6</v>
      </c>
      <c r="H40" s="4">
        <v>969000</v>
      </c>
      <c r="I40" s="4">
        <v>4</v>
      </c>
      <c r="P40" s="136"/>
      <c r="Q40" s="136"/>
      <c r="R40" s="136"/>
      <c r="S40" s="136"/>
      <c r="T40" s="136"/>
      <c r="U40" s="136"/>
    </row>
    <row r="41" spans="2:21">
      <c r="B41" s="4">
        <v>1089000</v>
      </c>
      <c r="C41" s="4">
        <v>5</v>
      </c>
      <c r="E41" s="4">
        <v>829000</v>
      </c>
      <c r="F41" s="4">
        <v>13</v>
      </c>
      <c r="H41" s="4">
        <v>960000</v>
      </c>
      <c r="I41" s="4">
        <v>4</v>
      </c>
      <c r="P41" s="68"/>
      <c r="Q41" s="68"/>
      <c r="R41" s="68"/>
      <c r="S41" s="68"/>
      <c r="T41" s="68"/>
      <c r="U41" s="68"/>
    </row>
    <row r="42" spans="2:21" ht="20.25">
      <c r="B42" s="4">
        <v>1083000</v>
      </c>
      <c r="C42" s="4">
        <v>2</v>
      </c>
      <c r="E42" s="4">
        <v>821000</v>
      </c>
      <c r="F42" s="4">
        <v>5</v>
      </c>
      <c r="H42" s="4">
        <v>950000</v>
      </c>
      <c r="I42" s="4">
        <v>13</v>
      </c>
      <c r="K42" s="54"/>
      <c r="L42" s="54"/>
      <c r="M42" s="54"/>
      <c r="N42" s="54"/>
      <c r="P42" s="68"/>
      <c r="Q42" s="68"/>
      <c r="R42" s="68"/>
      <c r="S42" s="68"/>
      <c r="T42" s="68"/>
      <c r="U42" s="68"/>
    </row>
    <row r="43" spans="2:21">
      <c r="B43" s="4">
        <v>1070000</v>
      </c>
      <c r="C43" s="4">
        <v>2</v>
      </c>
      <c r="E43" s="4">
        <v>799000</v>
      </c>
      <c r="F43" s="4">
        <v>182</v>
      </c>
      <c r="H43" s="4">
        <v>949000</v>
      </c>
      <c r="I43" s="4">
        <v>103</v>
      </c>
      <c r="K43" s="39"/>
      <c r="L43" s="39"/>
      <c r="M43" s="39"/>
      <c r="N43" s="39"/>
      <c r="P43" s="68"/>
      <c r="Q43" s="68"/>
      <c r="R43" s="68"/>
      <c r="S43" s="68"/>
      <c r="T43" s="68"/>
      <c r="U43" s="68"/>
    </row>
    <row r="44" spans="2:21">
      <c r="B44" s="4">
        <v>1069000</v>
      </c>
      <c r="C44" s="4">
        <v>84</v>
      </c>
      <c r="E44" s="4">
        <v>769000</v>
      </c>
      <c r="F44" s="4">
        <v>50</v>
      </c>
      <c r="H44" s="4">
        <v>929000</v>
      </c>
      <c r="I44" s="4">
        <v>8</v>
      </c>
      <c r="K44" s="40"/>
      <c r="L44" s="58"/>
      <c r="M44" s="58"/>
      <c r="N44" s="58"/>
      <c r="P44" s="68"/>
      <c r="Q44" s="68"/>
      <c r="R44" s="68"/>
      <c r="S44" s="68"/>
      <c r="T44" s="68"/>
      <c r="U44" s="68"/>
    </row>
    <row r="45" spans="2:21">
      <c r="B45" s="4">
        <v>1059000</v>
      </c>
      <c r="C45" s="4">
        <v>6</v>
      </c>
      <c r="E45" s="4">
        <v>749000</v>
      </c>
      <c r="F45" s="4">
        <v>118</v>
      </c>
      <c r="H45" s="4">
        <v>918000</v>
      </c>
      <c r="I45" s="4">
        <v>16</v>
      </c>
      <c r="K45" s="40"/>
      <c r="L45" s="58"/>
      <c r="M45" s="58"/>
      <c r="N45" s="58"/>
      <c r="P45" s="68"/>
      <c r="Q45" s="68"/>
      <c r="R45" s="68"/>
      <c r="S45" s="68"/>
      <c r="T45" s="68"/>
      <c r="U45" s="68"/>
    </row>
    <row r="46" spans="2:21">
      <c r="B46" s="4">
        <v>1050000</v>
      </c>
      <c r="C46" s="4">
        <v>4</v>
      </c>
      <c r="E46" s="4">
        <v>739000</v>
      </c>
      <c r="F46" s="4">
        <v>19</v>
      </c>
      <c r="H46" s="4">
        <v>910000</v>
      </c>
      <c r="I46" s="4">
        <v>12</v>
      </c>
      <c r="K46" s="40"/>
      <c r="L46" s="58"/>
      <c r="M46" s="58"/>
      <c r="N46" s="58"/>
      <c r="P46" s="68"/>
      <c r="Q46" s="68"/>
      <c r="R46" s="68"/>
      <c r="S46" s="68"/>
      <c r="T46" s="68"/>
      <c r="U46" s="68"/>
    </row>
    <row r="47" spans="2:21">
      <c r="B47" s="4">
        <v>1049000</v>
      </c>
      <c r="C47" s="4">
        <v>55</v>
      </c>
      <c r="E47" s="4">
        <v>729000</v>
      </c>
      <c r="F47" s="4">
        <v>39</v>
      </c>
      <c r="H47" s="4">
        <v>900000</v>
      </c>
      <c r="I47" s="4">
        <v>6</v>
      </c>
      <c r="K47" s="40"/>
      <c r="L47" s="58"/>
      <c r="M47" s="58"/>
      <c r="N47" s="58"/>
      <c r="P47" s="68"/>
      <c r="Q47" s="68"/>
      <c r="R47" s="68"/>
      <c r="S47" s="68"/>
      <c r="T47" s="68"/>
      <c r="U47" s="68"/>
    </row>
    <row r="48" spans="2:21">
      <c r="B48" s="4">
        <v>1039000</v>
      </c>
      <c r="C48" s="4">
        <v>12</v>
      </c>
      <c r="E48" s="4">
        <v>699000</v>
      </c>
      <c r="F48" s="4">
        <v>60</v>
      </c>
      <c r="H48" s="4">
        <v>899000</v>
      </c>
      <c r="I48" s="4">
        <v>191</v>
      </c>
      <c r="K48" s="40"/>
      <c r="L48" s="62"/>
      <c r="M48" s="62"/>
      <c r="N48" s="62"/>
      <c r="P48" s="68"/>
      <c r="Q48" s="68"/>
      <c r="R48" s="68"/>
      <c r="S48" s="68"/>
      <c r="T48" s="68"/>
      <c r="U48" s="68"/>
    </row>
    <row r="49" spans="2:21">
      <c r="B49" s="4">
        <v>1029000</v>
      </c>
      <c r="C49" s="4">
        <v>8</v>
      </c>
      <c r="E49" s="4">
        <v>679000</v>
      </c>
      <c r="F49" s="4">
        <v>5</v>
      </c>
      <c r="H49" s="4">
        <v>890000</v>
      </c>
      <c r="I49" s="4">
        <v>27</v>
      </c>
      <c r="K49" s="40"/>
      <c r="L49" s="62"/>
      <c r="M49" s="62"/>
      <c r="N49" s="62"/>
      <c r="P49" s="68"/>
      <c r="Q49" s="68"/>
      <c r="R49" s="68"/>
      <c r="S49" s="68"/>
      <c r="T49" s="68"/>
      <c r="U49" s="68"/>
    </row>
    <row r="50" spans="2:21">
      <c r="B50" s="4">
        <v>1019000</v>
      </c>
      <c r="C50" s="4">
        <v>10</v>
      </c>
      <c r="E50" s="4">
        <v>669000</v>
      </c>
      <c r="F50" s="4">
        <v>13</v>
      </c>
      <c r="H50" s="4">
        <v>889000</v>
      </c>
      <c r="I50" s="4">
        <v>17</v>
      </c>
      <c r="P50" s="68"/>
      <c r="Q50" s="68"/>
      <c r="R50" s="68"/>
      <c r="S50" s="68"/>
      <c r="T50" s="68"/>
      <c r="U50" s="68"/>
    </row>
    <row r="51" spans="2:21" ht="20.25">
      <c r="B51" s="4">
        <v>1009000</v>
      </c>
      <c r="C51" s="4">
        <v>2</v>
      </c>
      <c r="E51" s="4">
        <v>649000</v>
      </c>
      <c r="F51" s="4">
        <v>80</v>
      </c>
      <c r="H51" s="4">
        <v>888000</v>
      </c>
      <c r="I51" s="4">
        <v>2</v>
      </c>
      <c r="K51" s="54"/>
      <c r="L51" s="54"/>
      <c r="M51" s="54"/>
      <c r="N51" s="54"/>
    </row>
    <row r="52" spans="2:21">
      <c r="B52" s="4">
        <v>999000</v>
      </c>
      <c r="C52" s="4">
        <v>18</v>
      </c>
      <c r="E52" s="4">
        <v>629000</v>
      </c>
      <c r="F52" s="4">
        <v>6</v>
      </c>
      <c r="H52" s="4">
        <v>879000</v>
      </c>
      <c r="I52" s="4">
        <v>2</v>
      </c>
      <c r="K52" s="39"/>
      <c r="L52" s="39"/>
      <c r="M52" s="39"/>
      <c r="N52" s="39"/>
    </row>
    <row r="53" spans="2:21">
      <c r="B53" s="4">
        <v>980000</v>
      </c>
      <c r="C53" s="4">
        <v>2</v>
      </c>
      <c r="E53" s="4">
        <v>599000</v>
      </c>
      <c r="F53" s="4">
        <v>100</v>
      </c>
      <c r="H53" s="4">
        <v>859000</v>
      </c>
      <c r="I53" s="4">
        <v>4</v>
      </c>
      <c r="K53" s="40"/>
      <c r="L53" s="85"/>
      <c r="M53" s="85"/>
      <c r="N53" s="85"/>
    </row>
    <row r="54" spans="2:21">
      <c r="B54" s="4">
        <v>979000</v>
      </c>
      <c r="C54" s="4">
        <v>51</v>
      </c>
      <c r="E54" s="4">
        <v>569000</v>
      </c>
      <c r="F54" s="4">
        <v>1</v>
      </c>
      <c r="H54" s="4">
        <v>849000</v>
      </c>
      <c r="I54" s="4">
        <v>86</v>
      </c>
      <c r="K54" s="40"/>
      <c r="L54" s="85"/>
      <c r="M54" s="85"/>
      <c r="N54" s="85"/>
    </row>
    <row r="55" spans="2:21">
      <c r="B55" s="4">
        <v>969000</v>
      </c>
      <c r="C55" s="4">
        <v>23</v>
      </c>
      <c r="E55" s="4">
        <v>549000</v>
      </c>
      <c r="F55" s="4">
        <v>75</v>
      </c>
      <c r="H55" s="4">
        <v>839000</v>
      </c>
      <c r="I55" s="4">
        <v>8</v>
      </c>
      <c r="K55" s="40"/>
      <c r="L55" s="85"/>
      <c r="M55" s="85"/>
      <c r="N55" s="85"/>
    </row>
    <row r="56" spans="2:21">
      <c r="B56" s="4">
        <v>959000</v>
      </c>
      <c r="C56" s="4">
        <v>31</v>
      </c>
      <c r="E56" s="4">
        <v>500000</v>
      </c>
      <c r="F56" s="4">
        <v>2</v>
      </c>
      <c r="H56" s="4">
        <v>820000</v>
      </c>
      <c r="I56" s="4">
        <v>15</v>
      </c>
      <c r="K56" s="40"/>
      <c r="L56" s="85"/>
      <c r="M56" s="85"/>
      <c r="N56" s="85"/>
    </row>
    <row r="57" spans="2:21">
      <c r="B57" s="4">
        <v>950000</v>
      </c>
      <c r="C57" s="4">
        <v>2</v>
      </c>
      <c r="E57" s="4">
        <v>499000</v>
      </c>
      <c r="F57" s="4">
        <v>402</v>
      </c>
      <c r="H57" s="4">
        <v>812000</v>
      </c>
      <c r="I57" s="4">
        <v>11</v>
      </c>
      <c r="K57" s="40"/>
      <c r="L57" s="85"/>
      <c r="M57" s="85"/>
      <c r="N57" s="85"/>
    </row>
    <row r="58" spans="2:21">
      <c r="B58" s="4">
        <v>949000</v>
      </c>
      <c r="C58" s="4">
        <v>112</v>
      </c>
      <c r="E58" s="4">
        <v>469000</v>
      </c>
      <c r="F58" s="4">
        <v>15</v>
      </c>
      <c r="H58" s="4">
        <v>799000</v>
      </c>
      <c r="I58" s="4">
        <v>260</v>
      </c>
      <c r="K58" s="40"/>
      <c r="L58" s="48"/>
      <c r="M58" s="48"/>
      <c r="N58" s="48"/>
    </row>
    <row r="59" spans="2:21">
      <c r="B59" s="4">
        <v>944100</v>
      </c>
      <c r="C59" s="4">
        <v>1</v>
      </c>
      <c r="E59" s="4">
        <v>449000</v>
      </c>
      <c r="F59" s="4">
        <v>6</v>
      </c>
      <c r="H59" s="4">
        <v>790000</v>
      </c>
      <c r="I59" s="4">
        <v>2</v>
      </c>
    </row>
    <row r="60" spans="2:21">
      <c r="B60" s="4">
        <v>939000</v>
      </c>
      <c r="C60" s="4">
        <v>22</v>
      </c>
      <c r="E60" s="4">
        <v>439000</v>
      </c>
      <c r="F60" s="4">
        <v>16</v>
      </c>
      <c r="H60" s="4">
        <v>788000</v>
      </c>
      <c r="I60" s="4">
        <v>2</v>
      </c>
    </row>
    <row r="61" spans="2:21">
      <c r="B61" s="4">
        <v>929000</v>
      </c>
      <c r="C61" s="4">
        <v>34</v>
      </c>
      <c r="E61" s="4">
        <v>419000</v>
      </c>
      <c r="F61" s="4">
        <v>18</v>
      </c>
      <c r="H61" s="4">
        <v>760000</v>
      </c>
      <c r="I61" s="4">
        <v>2</v>
      </c>
    </row>
    <row r="62" spans="2:21">
      <c r="B62" s="4">
        <v>919000</v>
      </c>
      <c r="C62" s="4">
        <v>59</v>
      </c>
      <c r="E62" s="4">
        <v>400000</v>
      </c>
      <c r="F62" s="4">
        <v>2</v>
      </c>
      <c r="H62" s="4">
        <v>749000</v>
      </c>
      <c r="I62" s="4">
        <v>86</v>
      </c>
    </row>
    <row r="63" spans="2:21">
      <c r="B63" s="4">
        <v>909000</v>
      </c>
      <c r="C63" s="4">
        <v>8</v>
      </c>
      <c r="E63" s="4">
        <v>399000</v>
      </c>
      <c r="F63" s="4">
        <v>320</v>
      </c>
      <c r="H63" s="4">
        <v>745000</v>
      </c>
      <c r="I63" s="4">
        <v>4</v>
      </c>
    </row>
    <row r="64" spans="2:21">
      <c r="B64" s="4">
        <v>899000</v>
      </c>
      <c r="C64" s="4">
        <v>109</v>
      </c>
      <c r="E64" s="4">
        <v>369000</v>
      </c>
      <c r="F64" s="4">
        <v>69</v>
      </c>
      <c r="H64" s="4">
        <v>729000</v>
      </c>
      <c r="I64" s="4">
        <v>46</v>
      </c>
    </row>
    <row r="65" spans="2:9">
      <c r="B65" s="4">
        <v>889000</v>
      </c>
      <c r="C65" s="4">
        <v>12</v>
      </c>
      <c r="E65" s="4">
        <v>360000</v>
      </c>
      <c r="F65" s="4">
        <v>2</v>
      </c>
      <c r="H65" s="4">
        <v>719000</v>
      </c>
      <c r="I65" s="4">
        <v>2</v>
      </c>
    </row>
    <row r="66" spans="2:9">
      <c r="B66" s="4">
        <v>879000</v>
      </c>
      <c r="C66" s="4">
        <v>18</v>
      </c>
      <c r="E66" s="4">
        <v>359000</v>
      </c>
      <c r="F66" s="4">
        <v>10</v>
      </c>
      <c r="H66" s="4">
        <v>700000</v>
      </c>
      <c r="I66" s="4">
        <v>5</v>
      </c>
    </row>
    <row r="67" spans="2:9">
      <c r="B67" s="4">
        <v>875000</v>
      </c>
      <c r="C67" s="4">
        <v>8</v>
      </c>
      <c r="E67" s="4">
        <v>349000</v>
      </c>
      <c r="F67" s="4">
        <v>91</v>
      </c>
      <c r="H67" s="4">
        <v>699000</v>
      </c>
      <c r="I67" s="4">
        <v>796</v>
      </c>
    </row>
    <row r="68" spans="2:9">
      <c r="B68" s="4">
        <v>869000</v>
      </c>
      <c r="C68" s="4">
        <v>59</v>
      </c>
      <c r="E68" s="4">
        <v>330000</v>
      </c>
      <c r="F68" s="4">
        <v>2</v>
      </c>
      <c r="H68" s="4">
        <v>690000</v>
      </c>
      <c r="I68" s="4">
        <v>19</v>
      </c>
    </row>
    <row r="69" spans="2:9">
      <c r="B69" s="4">
        <v>859000</v>
      </c>
      <c r="C69" s="4">
        <v>45</v>
      </c>
      <c r="E69" s="4">
        <v>329000</v>
      </c>
      <c r="F69" s="4">
        <v>25</v>
      </c>
      <c r="H69" s="4">
        <v>689000</v>
      </c>
      <c r="I69" s="4">
        <v>1</v>
      </c>
    </row>
    <row r="70" spans="2:9">
      <c r="B70" s="4">
        <v>850000</v>
      </c>
      <c r="C70" s="4">
        <v>2</v>
      </c>
      <c r="E70" s="4">
        <v>319000</v>
      </c>
      <c r="F70" s="4">
        <v>33</v>
      </c>
      <c r="H70" s="4">
        <v>679000</v>
      </c>
      <c r="I70" s="4">
        <v>13</v>
      </c>
    </row>
    <row r="71" spans="2:9">
      <c r="B71" s="4">
        <v>849000</v>
      </c>
      <c r="C71" s="4">
        <v>68</v>
      </c>
      <c r="E71" s="4">
        <v>308000</v>
      </c>
      <c r="F71" s="4">
        <v>3</v>
      </c>
      <c r="H71" s="4">
        <v>670000</v>
      </c>
      <c r="I71" s="4">
        <v>1</v>
      </c>
    </row>
    <row r="72" spans="2:9">
      <c r="B72" s="4">
        <v>845000</v>
      </c>
      <c r="C72" s="4">
        <v>2</v>
      </c>
      <c r="E72" s="4">
        <v>300000</v>
      </c>
      <c r="F72" s="4">
        <v>1</v>
      </c>
      <c r="H72" s="4">
        <v>669000</v>
      </c>
      <c r="I72" s="4">
        <v>6</v>
      </c>
    </row>
    <row r="73" spans="2:9">
      <c r="B73" s="4">
        <v>838000</v>
      </c>
      <c r="C73" s="4">
        <v>6</v>
      </c>
      <c r="E73" s="4">
        <v>299000</v>
      </c>
      <c r="F73" s="4">
        <v>392</v>
      </c>
      <c r="H73" s="4">
        <v>649000</v>
      </c>
      <c r="I73" s="4">
        <v>121</v>
      </c>
    </row>
    <row r="74" spans="2:9">
      <c r="B74" s="4">
        <v>829000</v>
      </c>
      <c r="C74" s="4">
        <v>9</v>
      </c>
      <c r="E74" s="4">
        <v>280000</v>
      </c>
      <c r="F74" s="4">
        <v>3</v>
      </c>
      <c r="H74" s="4">
        <v>640000</v>
      </c>
      <c r="I74" s="4">
        <v>35</v>
      </c>
    </row>
    <row r="75" spans="2:9">
      <c r="B75" s="4">
        <v>819000</v>
      </c>
      <c r="C75" s="4">
        <v>50</v>
      </c>
      <c r="E75" s="4">
        <v>249000</v>
      </c>
      <c r="F75" s="4">
        <v>60</v>
      </c>
      <c r="H75" s="4">
        <v>639000</v>
      </c>
      <c r="I75" s="4">
        <v>6</v>
      </c>
    </row>
    <row r="76" spans="2:9">
      <c r="B76" s="4">
        <v>809000</v>
      </c>
      <c r="C76" s="4">
        <v>44</v>
      </c>
      <c r="E76" s="4">
        <v>219000</v>
      </c>
      <c r="F76" s="4">
        <v>16</v>
      </c>
      <c r="H76" s="4">
        <v>629000</v>
      </c>
      <c r="I76" s="4">
        <v>4</v>
      </c>
    </row>
    <row r="77" spans="2:9">
      <c r="B77" s="4">
        <v>804000</v>
      </c>
      <c r="C77" s="4">
        <v>3</v>
      </c>
      <c r="E77" s="4">
        <v>160000</v>
      </c>
      <c r="F77" s="4">
        <v>1</v>
      </c>
      <c r="H77" s="4">
        <v>599000</v>
      </c>
      <c r="I77" s="4">
        <v>381</v>
      </c>
    </row>
    <row r="78" spans="2:9">
      <c r="B78" s="4">
        <v>800000</v>
      </c>
      <c r="C78" s="4">
        <v>2</v>
      </c>
      <c r="H78" s="4">
        <v>579000</v>
      </c>
      <c r="I78" s="4">
        <v>10</v>
      </c>
    </row>
    <row r="79" spans="2:9">
      <c r="B79" s="4">
        <v>799000</v>
      </c>
      <c r="C79" s="4">
        <v>144</v>
      </c>
      <c r="H79" s="4">
        <v>578000</v>
      </c>
      <c r="I79" s="4">
        <v>8</v>
      </c>
    </row>
    <row r="80" spans="2:9">
      <c r="B80" s="4">
        <v>789000</v>
      </c>
      <c r="C80" s="4">
        <v>20</v>
      </c>
      <c r="H80" s="4">
        <v>552000</v>
      </c>
      <c r="I80" s="4">
        <v>4</v>
      </c>
    </row>
    <row r="81" spans="2:9">
      <c r="B81" s="4">
        <v>788000</v>
      </c>
      <c r="C81" s="4">
        <v>15</v>
      </c>
      <c r="E81">
        <f>AVERAGE(E5:E77)</f>
        <v>806589.04109589045</v>
      </c>
      <c r="H81" s="4">
        <v>550000</v>
      </c>
      <c r="I81" s="4">
        <v>2</v>
      </c>
    </row>
    <row r="82" spans="2:9">
      <c r="B82" s="4">
        <v>782000</v>
      </c>
      <c r="C82" s="4">
        <v>3</v>
      </c>
      <c r="H82" s="4">
        <v>549000</v>
      </c>
      <c r="I82" s="4">
        <v>42</v>
      </c>
    </row>
    <row r="83" spans="2:9">
      <c r="B83" s="4">
        <v>780000</v>
      </c>
      <c r="C83" s="4">
        <v>3</v>
      </c>
      <c r="H83" s="4">
        <v>545000</v>
      </c>
      <c r="I83" s="4">
        <v>4</v>
      </c>
    </row>
    <row r="84" spans="2:9">
      <c r="B84" s="4">
        <v>779000</v>
      </c>
      <c r="C84" s="4">
        <v>32</v>
      </c>
      <c r="H84" s="4">
        <v>538000</v>
      </c>
      <c r="I84" s="4">
        <v>6</v>
      </c>
    </row>
    <row r="85" spans="2:9">
      <c r="B85" s="4">
        <v>769000</v>
      </c>
      <c r="C85" s="4">
        <v>220</v>
      </c>
      <c r="H85" s="4">
        <v>532000</v>
      </c>
      <c r="I85" s="4">
        <v>4</v>
      </c>
    </row>
    <row r="86" spans="2:9">
      <c r="B86" s="4">
        <v>768000</v>
      </c>
      <c r="C86" s="4">
        <v>6</v>
      </c>
      <c r="H86" s="4">
        <v>529000</v>
      </c>
      <c r="I86" s="4">
        <v>58</v>
      </c>
    </row>
    <row r="87" spans="2:9">
      <c r="B87" s="4">
        <v>765000</v>
      </c>
      <c r="C87" s="4">
        <v>2</v>
      </c>
      <c r="H87" s="4">
        <v>520000</v>
      </c>
      <c r="I87" s="4">
        <v>1</v>
      </c>
    </row>
    <row r="88" spans="2:9">
      <c r="B88" s="4">
        <v>759000</v>
      </c>
      <c r="C88" s="4">
        <v>38</v>
      </c>
      <c r="H88" s="4">
        <v>512000</v>
      </c>
      <c r="I88" s="4">
        <v>11</v>
      </c>
    </row>
    <row r="89" spans="2:9">
      <c r="B89" s="4">
        <v>758000</v>
      </c>
      <c r="C89" s="4">
        <v>2</v>
      </c>
      <c r="H89" s="4">
        <v>500000</v>
      </c>
      <c r="I89" s="4">
        <v>20</v>
      </c>
    </row>
    <row r="90" spans="2:9">
      <c r="B90" s="4">
        <v>749000</v>
      </c>
      <c r="C90" s="4">
        <v>75</v>
      </c>
      <c r="H90" s="4">
        <v>499000</v>
      </c>
      <c r="I90" s="4">
        <v>510</v>
      </c>
    </row>
    <row r="91" spans="2:9">
      <c r="B91" s="4">
        <v>748000</v>
      </c>
      <c r="C91" s="4">
        <v>2</v>
      </c>
      <c r="H91" s="4">
        <v>490000</v>
      </c>
      <c r="I91" s="4">
        <v>2</v>
      </c>
    </row>
    <row r="92" spans="2:9">
      <c r="B92" s="4">
        <v>745000</v>
      </c>
      <c r="C92" s="4">
        <v>4</v>
      </c>
      <c r="H92" s="4">
        <v>489000</v>
      </c>
      <c r="I92" s="4">
        <v>2</v>
      </c>
    </row>
    <row r="93" spans="2:9">
      <c r="B93" s="4">
        <v>739000</v>
      </c>
      <c r="C93" s="4">
        <v>24</v>
      </c>
      <c r="H93" s="4">
        <v>488000</v>
      </c>
      <c r="I93" s="4">
        <v>14</v>
      </c>
    </row>
    <row r="94" spans="2:9">
      <c r="B94" s="4">
        <v>729000</v>
      </c>
      <c r="C94" s="4">
        <v>10</v>
      </c>
      <c r="H94" s="4">
        <v>481000</v>
      </c>
      <c r="I94" s="4">
        <v>16</v>
      </c>
    </row>
    <row r="95" spans="2:9">
      <c r="B95" s="4">
        <v>719000</v>
      </c>
      <c r="C95" s="4">
        <v>43</v>
      </c>
      <c r="H95" s="4">
        <v>479000</v>
      </c>
      <c r="I95" s="4">
        <v>2</v>
      </c>
    </row>
    <row r="96" spans="2:9">
      <c r="B96" s="4">
        <v>718000</v>
      </c>
      <c r="C96" s="4">
        <v>2</v>
      </c>
      <c r="H96" s="4">
        <v>469000</v>
      </c>
      <c r="I96" s="4">
        <v>45</v>
      </c>
    </row>
    <row r="97" spans="2:9">
      <c r="B97" s="4">
        <v>715000</v>
      </c>
      <c r="C97" s="4">
        <v>2</v>
      </c>
      <c r="H97" s="4">
        <v>450000</v>
      </c>
      <c r="I97" s="4">
        <v>2</v>
      </c>
    </row>
    <row r="98" spans="2:9">
      <c r="B98" s="4">
        <v>710000</v>
      </c>
      <c r="C98" s="4">
        <v>3</v>
      </c>
      <c r="H98" s="4">
        <v>449000</v>
      </c>
      <c r="I98" s="4">
        <v>650</v>
      </c>
    </row>
    <row r="99" spans="2:9">
      <c r="B99" s="4">
        <v>709000</v>
      </c>
      <c r="C99" s="4">
        <v>9</v>
      </c>
      <c r="H99" s="4">
        <v>439000</v>
      </c>
      <c r="I99" s="4">
        <v>7</v>
      </c>
    </row>
    <row r="100" spans="2:9">
      <c r="B100" s="4">
        <v>699000</v>
      </c>
      <c r="C100" s="4">
        <v>87</v>
      </c>
      <c r="H100" s="4">
        <v>432000</v>
      </c>
      <c r="I100" s="4">
        <v>4</v>
      </c>
    </row>
    <row r="101" spans="2:9">
      <c r="B101" s="4">
        <v>689000</v>
      </c>
      <c r="C101" s="4">
        <v>27</v>
      </c>
      <c r="H101" s="4">
        <v>429000</v>
      </c>
      <c r="I101" s="4">
        <v>19</v>
      </c>
    </row>
    <row r="102" spans="2:9">
      <c r="B102" s="4">
        <v>688000</v>
      </c>
      <c r="C102" s="4">
        <v>21</v>
      </c>
      <c r="H102" s="4">
        <v>420000</v>
      </c>
      <c r="I102" s="4">
        <v>4</v>
      </c>
    </row>
    <row r="103" spans="2:9">
      <c r="B103" s="4">
        <v>680000</v>
      </c>
      <c r="C103" s="4">
        <v>6</v>
      </c>
      <c r="H103" s="4">
        <v>412000</v>
      </c>
      <c r="I103" s="4">
        <v>13</v>
      </c>
    </row>
    <row r="104" spans="2:9">
      <c r="B104" s="4">
        <v>679000</v>
      </c>
      <c r="C104" s="4">
        <v>25</v>
      </c>
      <c r="H104" s="4">
        <v>408000</v>
      </c>
      <c r="I104" s="4">
        <v>5</v>
      </c>
    </row>
    <row r="105" spans="2:9">
      <c r="B105" s="4">
        <v>669000</v>
      </c>
      <c r="C105" s="4">
        <v>100</v>
      </c>
      <c r="H105" s="4">
        <v>400000</v>
      </c>
      <c r="I105" s="4">
        <v>13</v>
      </c>
    </row>
    <row r="106" spans="2:9">
      <c r="B106" s="4">
        <v>667000</v>
      </c>
      <c r="C106" s="4">
        <v>2</v>
      </c>
      <c r="H106" s="4">
        <v>399000</v>
      </c>
      <c r="I106" s="4">
        <v>383</v>
      </c>
    </row>
    <row r="107" spans="2:9">
      <c r="B107" s="4">
        <v>649000</v>
      </c>
      <c r="C107" s="4">
        <v>28</v>
      </c>
      <c r="H107" s="4">
        <v>395000</v>
      </c>
      <c r="I107" s="4">
        <v>4</v>
      </c>
    </row>
    <row r="108" spans="2:9">
      <c r="B108" s="4">
        <v>640000</v>
      </c>
      <c r="C108" s="4">
        <v>13</v>
      </c>
      <c r="H108" s="4">
        <v>390000</v>
      </c>
      <c r="I108" s="4">
        <v>37</v>
      </c>
    </row>
    <row r="109" spans="2:9">
      <c r="B109" s="4">
        <v>639000</v>
      </c>
      <c r="C109" s="4">
        <v>34</v>
      </c>
      <c r="H109" s="4">
        <v>389000</v>
      </c>
      <c r="I109" s="4">
        <v>13</v>
      </c>
    </row>
    <row r="110" spans="2:9">
      <c r="B110" s="4">
        <v>635000</v>
      </c>
      <c r="C110" s="4">
        <v>5</v>
      </c>
      <c r="H110" s="4">
        <v>388000</v>
      </c>
      <c r="I110" s="4">
        <v>15</v>
      </c>
    </row>
    <row r="111" spans="2:9">
      <c r="B111" s="4">
        <v>620000</v>
      </c>
      <c r="C111" s="4">
        <v>2</v>
      </c>
      <c r="H111" s="4">
        <v>383000</v>
      </c>
      <c r="I111" s="4">
        <v>1</v>
      </c>
    </row>
    <row r="112" spans="2:9">
      <c r="B112" s="4">
        <v>619000</v>
      </c>
      <c r="C112" s="4">
        <v>25</v>
      </c>
      <c r="H112" s="4">
        <v>382000</v>
      </c>
      <c r="I112" s="4">
        <v>2</v>
      </c>
    </row>
    <row r="113" spans="2:12">
      <c r="B113" s="4">
        <v>599000</v>
      </c>
      <c r="C113" s="4">
        <v>83</v>
      </c>
      <c r="H113" s="4">
        <v>380000</v>
      </c>
      <c r="I113" s="4">
        <v>2</v>
      </c>
    </row>
    <row r="114" spans="2:12">
      <c r="B114" s="4">
        <v>589000</v>
      </c>
      <c r="C114" s="4">
        <v>30</v>
      </c>
      <c r="H114" s="4">
        <v>370000</v>
      </c>
      <c r="I114" s="4">
        <v>8</v>
      </c>
    </row>
    <row r="115" spans="2:12">
      <c r="B115" s="4">
        <v>588500</v>
      </c>
      <c r="C115" s="4">
        <v>1</v>
      </c>
      <c r="H115" s="4">
        <v>369000</v>
      </c>
      <c r="I115" s="4">
        <v>113</v>
      </c>
    </row>
    <row r="116" spans="2:12">
      <c r="B116" s="4">
        <v>588000</v>
      </c>
      <c r="C116" s="4">
        <v>4</v>
      </c>
      <c r="H116" s="4">
        <v>359000</v>
      </c>
      <c r="I116" s="4">
        <v>4</v>
      </c>
    </row>
    <row r="117" spans="2:12">
      <c r="B117" s="4">
        <v>585000</v>
      </c>
      <c r="C117" s="4">
        <v>2</v>
      </c>
      <c r="H117" s="4">
        <v>358000</v>
      </c>
      <c r="I117" s="4">
        <v>4</v>
      </c>
    </row>
    <row r="118" spans="2:12">
      <c r="B118" s="4">
        <v>582000</v>
      </c>
      <c r="C118" s="4">
        <v>4</v>
      </c>
      <c r="H118" s="4">
        <v>352000</v>
      </c>
      <c r="I118" s="4">
        <v>6</v>
      </c>
    </row>
    <row r="119" spans="2:12">
      <c r="B119" s="4">
        <v>579000</v>
      </c>
      <c r="C119" s="4">
        <v>24</v>
      </c>
      <c r="H119" s="4">
        <v>350000</v>
      </c>
      <c r="I119" s="4">
        <v>2</v>
      </c>
    </row>
    <row r="120" spans="2:12">
      <c r="B120" s="4">
        <v>577000</v>
      </c>
      <c r="C120" s="4">
        <v>5</v>
      </c>
      <c r="H120" s="4">
        <v>349000</v>
      </c>
      <c r="I120" s="4">
        <v>254</v>
      </c>
    </row>
    <row r="121" spans="2:12">
      <c r="B121" s="4">
        <v>569000</v>
      </c>
      <c r="C121" s="4">
        <v>39</v>
      </c>
      <c r="H121" s="4">
        <v>308262</v>
      </c>
      <c r="I121" s="4">
        <v>1</v>
      </c>
    </row>
    <row r="122" spans="2:12">
      <c r="B122" s="4">
        <v>550000</v>
      </c>
      <c r="C122" s="4">
        <v>1</v>
      </c>
      <c r="H122" s="4">
        <v>300000</v>
      </c>
      <c r="I122" s="4">
        <v>3</v>
      </c>
    </row>
    <row r="123" spans="2:12">
      <c r="B123" s="4">
        <v>549000</v>
      </c>
      <c r="C123" s="4">
        <v>16</v>
      </c>
      <c r="H123" s="4">
        <v>299000</v>
      </c>
      <c r="I123" s="4">
        <v>29</v>
      </c>
    </row>
    <row r="124" spans="2:12">
      <c r="B124" s="4">
        <v>546000</v>
      </c>
      <c r="C124" s="4">
        <v>4</v>
      </c>
      <c r="H124" s="4">
        <v>274900</v>
      </c>
      <c r="I124" s="4">
        <v>1</v>
      </c>
      <c r="L124">
        <f>AVERAGE(H5:H131)</f>
        <v>738558.28346456692</v>
      </c>
    </row>
    <row r="125" spans="2:12">
      <c r="B125" s="4">
        <v>540000</v>
      </c>
      <c r="C125" s="4">
        <v>6</v>
      </c>
      <c r="H125" s="4">
        <v>230000</v>
      </c>
      <c r="I125" s="4">
        <v>3</v>
      </c>
    </row>
    <row r="126" spans="2:12">
      <c r="B126" s="4">
        <v>538000</v>
      </c>
      <c r="C126" s="4">
        <v>18</v>
      </c>
      <c r="H126" s="4">
        <v>200000</v>
      </c>
      <c r="I126" s="4">
        <v>1</v>
      </c>
    </row>
    <row r="127" spans="2:12">
      <c r="B127" s="4">
        <v>520000</v>
      </c>
      <c r="C127" s="4">
        <v>6</v>
      </c>
      <c r="H127" s="4">
        <v>160000</v>
      </c>
      <c r="I127" s="4">
        <v>1</v>
      </c>
    </row>
    <row r="128" spans="2:12">
      <c r="B128" s="4">
        <v>519000</v>
      </c>
      <c r="C128" s="4">
        <v>11</v>
      </c>
      <c r="H128" s="4">
        <v>80000</v>
      </c>
      <c r="I128" s="4">
        <v>2</v>
      </c>
    </row>
    <row r="129" spans="2:9">
      <c r="B129" s="4">
        <v>508000</v>
      </c>
      <c r="C129" s="4">
        <v>1</v>
      </c>
      <c r="H129" s="4">
        <v>70840</v>
      </c>
      <c r="I129" s="4">
        <v>1</v>
      </c>
    </row>
    <row r="130" spans="2:9">
      <c r="B130" s="4">
        <v>499000</v>
      </c>
      <c r="C130" s="4">
        <v>33</v>
      </c>
      <c r="H130" s="4">
        <v>50000</v>
      </c>
      <c r="I130" s="4">
        <v>1</v>
      </c>
    </row>
    <row r="131" spans="2:9">
      <c r="B131" s="4">
        <v>490000</v>
      </c>
      <c r="C131" s="4">
        <v>2</v>
      </c>
      <c r="H131" s="4">
        <v>39900</v>
      </c>
      <c r="I131" s="4">
        <v>1</v>
      </c>
    </row>
    <row r="132" spans="2:9">
      <c r="B132" s="4">
        <v>489000</v>
      </c>
      <c r="C132" s="4">
        <v>31</v>
      </c>
    </row>
    <row r="133" spans="2:9">
      <c r="B133" s="4">
        <v>488000</v>
      </c>
      <c r="C133" s="4">
        <v>12</v>
      </c>
    </row>
    <row r="134" spans="2:9">
      <c r="B134" s="4">
        <v>485000</v>
      </c>
      <c r="C134" s="4">
        <v>2</v>
      </c>
    </row>
    <row r="135" spans="2:9">
      <c r="B135" s="4">
        <v>475000</v>
      </c>
      <c r="C135" s="4">
        <v>2</v>
      </c>
    </row>
    <row r="136" spans="2:9">
      <c r="B136" s="4">
        <v>469000</v>
      </c>
      <c r="C136" s="4">
        <v>44</v>
      </c>
    </row>
    <row r="137" spans="2:9">
      <c r="B137" s="4">
        <v>450000</v>
      </c>
      <c r="C137" s="4">
        <v>2</v>
      </c>
    </row>
    <row r="138" spans="2:9">
      <c r="B138" s="4">
        <v>449000</v>
      </c>
      <c r="C138" s="4">
        <v>2</v>
      </c>
    </row>
    <row r="139" spans="2:9">
      <c r="B139" s="4">
        <v>445000</v>
      </c>
      <c r="C139" s="4">
        <v>9</v>
      </c>
    </row>
    <row r="140" spans="2:9">
      <c r="B140" s="4">
        <v>440000</v>
      </c>
      <c r="C140" s="4">
        <v>4</v>
      </c>
    </row>
    <row r="141" spans="2:9">
      <c r="B141" s="4">
        <v>439000</v>
      </c>
      <c r="C141" s="4">
        <v>51</v>
      </c>
    </row>
    <row r="142" spans="2:9">
      <c r="B142" s="4">
        <v>438000</v>
      </c>
      <c r="C142" s="4">
        <v>4</v>
      </c>
    </row>
    <row r="143" spans="2:9">
      <c r="B143" s="4">
        <v>430000</v>
      </c>
      <c r="C143" s="4">
        <v>3</v>
      </c>
    </row>
    <row r="144" spans="2:9">
      <c r="B144" s="4">
        <v>429000</v>
      </c>
      <c r="C144" s="4">
        <v>1</v>
      </c>
    </row>
    <row r="145" spans="2:3">
      <c r="B145" s="4">
        <v>420000</v>
      </c>
      <c r="C145" s="4">
        <v>1</v>
      </c>
    </row>
    <row r="146" spans="2:3">
      <c r="B146" s="4">
        <v>419000</v>
      </c>
      <c r="C146" s="4">
        <v>28</v>
      </c>
    </row>
    <row r="147" spans="2:3">
      <c r="B147" s="4">
        <v>412000</v>
      </c>
      <c r="C147" s="4">
        <v>1</v>
      </c>
    </row>
    <row r="148" spans="2:3">
      <c r="B148" s="4">
        <v>410000</v>
      </c>
      <c r="C148" s="4">
        <v>1</v>
      </c>
    </row>
    <row r="149" spans="2:3">
      <c r="B149" s="4">
        <v>400000</v>
      </c>
      <c r="C149" s="4">
        <v>2</v>
      </c>
    </row>
    <row r="150" spans="2:3">
      <c r="B150" s="4">
        <v>399000</v>
      </c>
      <c r="C150" s="4">
        <v>55</v>
      </c>
    </row>
    <row r="151" spans="2:3">
      <c r="B151" s="4">
        <v>389000</v>
      </c>
      <c r="C151" s="4">
        <v>29</v>
      </c>
    </row>
    <row r="152" spans="2:3">
      <c r="B152" s="4">
        <v>388000</v>
      </c>
      <c r="C152" s="4">
        <v>26</v>
      </c>
    </row>
    <row r="153" spans="2:3">
      <c r="B153" s="4">
        <v>375000</v>
      </c>
      <c r="C153" s="4">
        <v>30</v>
      </c>
    </row>
    <row r="154" spans="2:3">
      <c r="B154" s="4">
        <v>373000</v>
      </c>
      <c r="C154" s="4">
        <v>14</v>
      </c>
    </row>
    <row r="155" spans="2:3">
      <c r="B155" s="4">
        <v>372000</v>
      </c>
      <c r="C155" s="4">
        <v>9</v>
      </c>
    </row>
    <row r="156" spans="2:3">
      <c r="B156" s="4">
        <v>369000</v>
      </c>
      <c r="C156" s="4">
        <v>22</v>
      </c>
    </row>
    <row r="157" spans="2:3">
      <c r="B157" s="4">
        <v>350000</v>
      </c>
      <c r="C157" s="4">
        <v>2</v>
      </c>
    </row>
    <row r="158" spans="2:3">
      <c r="B158" s="4">
        <v>349000</v>
      </c>
      <c r="C158" s="4">
        <v>12</v>
      </c>
    </row>
    <row r="159" spans="2:3">
      <c r="B159" s="4">
        <v>310000</v>
      </c>
      <c r="C159" s="4">
        <v>2</v>
      </c>
    </row>
    <row r="160" spans="2:3">
      <c r="B160" s="4">
        <v>290000</v>
      </c>
      <c r="C160" s="4">
        <v>7</v>
      </c>
    </row>
    <row r="161" spans="2:3">
      <c r="B161" s="4">
        <v>281700</v>
      </c>
      <c r="C161" s="4">
        <v>3</v>
      </c>
    </row>
    <row r="162" spans="2:3">
      <c r="B162" s="4">
        <v>224750</v>
      </c>
      <c r="C162" s="4">
        <v>2</v>
      </c>
    </row>
    <row r="163" spans="2:3">
      <c r="B163" s="4">
        <v>209700</v>
      </c>
      <c r="C163" s="4">
        <v>1</v>
      </c>
    </row>
    <row r="164" spans="2:3">
      <c r="B164" s="4">
        <v>205000</v>
      </c>
      <c r="C164" s="4">
        <v>2</v>
      </c>
    </row>
    <row r="165" spans="2:3">
      <c r="B165" s="4">
        <v>150000</v>
      </c>
      <c r="C165" s="4">
        <v>6</v>
      </c>
    </row>
    <row r="166" spans="2:3">
      <c r="B166" s="4">
        <v>100000</v>
      </c>
      <c r="C166" s="4">
        <v>1</v>
      </c>
    </row>
    <row r="167" spans="2:3">
      <c r="B167" s="4">
        <v>50000</v>
      </c>
      <c r="C167" s="4">
        <v>1</v>
      </c>
    </row>
    <row r="168" spans="2:3">
      <c r="B168" s="4">
        <v>30000</v>
      </c>
      <c r="C168" s="4">
        <v>9</v>
      </c>
    </row>
    <row r="170" spans="2:3">
      <c r="B170">
        <f>AVERAGE(B5:B168)</f>
        <v>782157.01219512196</v>
      </c>
    </row>
  </sheetData>
  <mergeCells count="8">
    <mergeCell ref="P2:U2"/>
    <mergeCell ref="P3:U40"/>
    <mergeCell ref="B3:C3"/>
    <mergeCell ref="E3:F3"/>
    <mergeCell ref="H3:I3"/>
    <mergeCell ref="B1:I2"/>
    <mergeCell ref="K21:N21"/>
    <mergeCell ref="K30:N30"/>
  </mergeCells>
  <phoneticPr fontId="1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J427"/>
  <sheetViews>
    <sheetView topLeftCell="U10" workbookViewId="0">
      <selection activeCell="D6" sqref="D6"/>
    </sheetView>
  </sheetViews>
  <sheetFormatPr defaultRowHeight="16.5"/>
  <cols>
    <col min="21" max="21" width="11" customWidth="1"/>
    <col min="29" max="29" width="11.5" customWidth="1"/>
  </cols>
  <sheetData>
    <row r="2" spans="2:36" ht="20.25">
      <c r="B2" s="106" t="s">
        <v>16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U2" s="124" t="s">
        <v>71</v>
      </c>
      <c r="V2" s="124"/>
      <c r="W2" s="124"/>
      <c r="X2" s="124"/>
      <c r="Y2" s="124"/>
      <c r="Z2" s="124"/>
      <c r="AA2" s="124"/>
      <c r="AC2" s="140" t="s">
        <v>1087</v>
      </c>
      <c r="AD2" s="140"/>
      <c r="AE2" s="140"/>
      <c r="AF2" s="140"/>
      <c r="AG2" s="140"/>
      <c r="AH2" s="140"/>
      <c r="AI2" s="140"/>
      <c r="AJ2" s="140"/>
    </row>
    <row r="3" spans="2:36" ht="16.5" customHeight="1">
      <c r="B3" s="104" t="s">
        <v>13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U3" s="9" t="s">
        <v>32</v>
      </c>
      <c r="V3" s="9" t="s">
        <v>44</v>
      </c>
      <c r="W3" s="9" t="s">
        <v>39</v>
      </c>
      <c r="X3" s="9" t="s">
        <v>40</v>
      </c>
      <c r="Y3" s="9" t="s">
        <v>41</v>
      </c>
      <c r="Z3" s="9" t="s">
        <v>42</v>
      </c>
      <c r="AA3" s="9" t="s">
        <v>43</v>
      </c>
      <c r="AC3" s="136" t="s">
        <v>1096</v>
      </c>
      <c r="AD3" s="136"/>
      <c r="AE3" s="136"/>
      <c r="AF3" s="136"/>
      <c r="AG3" s="136"/>
      <c r="AH3" s="136"/>
      <c r="AI3" s="136"/>
      <c r="AJ3" s="136"/>
    </row>
    <row r="4" spans="2:36">
      <c r="B4" s="124" t="s">
        <v>36</v>
      </c>
      <c r="C4" s="124"/>
      <c r="D4" s="124"/>
      <c r="E4" s="124" t="s">
        <v>59</v>
      </c>
      <c r="F4" s="124"/>
      <c r="G4" s="124"/>
      <c r="H4" s="124" t="s">
        <v>60</v>
      </c>
      <c r="I4" s="124"/>
      <c r="J4" s="124"/>
      <c r="K4" s="124" t="s">
        <v>61</v>
      </c>
      <c r="L4" s="124"/>
      <c r="M4" s="124"/>
      <c r="N4" s="124" t="s">
        <v>62</v>
      </c>
      <c r="O4" s="124"/>
      <c r="P4" s="124"/>
      <c r="Q4" s="124" t="s">
        <v>43</v>
      </c>
      <c r="R4" s="124"/>
      <c r="S4" s="124"/>
      <c r="U4" s="22" t="s">
        <v>102</v>
      </c>
      <c r="V4" s="10">
        <v>6</v>
      </c>
      <c r="W4" s="10">
        <v>1</v>
      </c>
      <c r="X4" s="10">
        <v>0</v>
      </c>
      <c r="Y4" s="10">
        <v>9</v>
      </c>
      <c r="Z4" s="10">
        <v>18</v>
      </c>
      <c r="AA4" s="10">
        <v>2</v>
      </c>
      <c r="AC4" s="136"/>
      <c r="AD4" s="136"/>
      <c r="AE4" s="136"/>
      <c r="AF4" s="136"/>
      <c r="AG4" s="136"/>
      <c r="AH4" s="136"/>
      <c r="AI4" s="136"/>
      <c r="AJ4" s="136"/>
    </row>
    <row r="5" spans="2:36">
      <c r="B5" s="21" t="s">
        <v>63</v>
      </c>
      <c r="C5" s="21" t="s">
        <v>64</v>
      </c>
      <c r="D5" s="21" t="s">
        <v>65</v>
      </c>
      <c r="E5" s="21" t="s">
        <v>63</v>
      </c>
      <c r="F5" s="21" t="s">
        <v>64</v>
      </c>
      <c r="G5" s="21" t="s">
        <v>65</v>
      </c>
      <c r="H5" s="21" t="s">
        <v>63</v>
      </c>
      <c r="I5" s="21" t="s">
        <v>64</v>
      </c>
      <c r="J5" s="21" t="s">
        <v>65</v>
      </c>
      <c r="K5" s="21" t="s">
        <v>63</v>
      </c>
      <c r="L5" s="21" t="s">
        <v>64</v>
      </c>
      <c r="M5" s="21" t="s">
        <v>65</v>
      </c>
      <c r="N5" s="21" t="s">
        <v>63</v>
      </c>
      <c r="O5" s="21" t="s">
        <v>64</v>
      </c>
      <c r="P5" s="21" t="s">
        <v>65</v>
      </c>
      <c r="Q5" s="21" t="s">
        <v>63</v>
      </c>
      <c r="R5" s="21" t="s">
        <v>64</v>
      </c>
      <c r="S5" s="21" t="s">
        <v>65</v>
      </c>
      <c r="U5" s="22" t="s">
        <v>103</v>
      </c>
      <c r="V5" s="10">
        <v>113</v>
      </c>
      <c r="W5" s="10">
        <v>110</v>
      </c>
      <c r="X5" s="10">
        <v>308</v>
      </c>
      <c r="Y5" s="10">
        <v>869</v>
      </c>
      <c r="Z5" s="10">
        <v>747</v>
      </c>
      <c r="AA5" s="10">
        <v>151</v>
      </c>
      <c r="AC5" s="136"/>
      <c r="AD5" s="136"/>
      <c r="AE5" s="136"/>
      <c r="AF5" s="136"/>
      <c r="AG5" s="136"/>
      <c r="AH5" s="136"/>
      <c r="AI5" s="136"/>
      <c r="AJ5" s="136"/>
    </row>
    <row r="6" spans="2:36">
      <c r="B6" s="21" t="s">
        <v>1097</v>
      </c>
      <c r="C6" s="21">
        <f>SUM(C7:C135)</f>
        <v>203</v>
      </c>
      <c r="D6" s="21">
        <f>AVERAGE(D7:D135)</f>
        <v>743280.3255813953</v>
      </c>
      <c r="E6" s="21" t="s">
        <v>66</v>
      </c>
      <c r="F6" s="21">
        <f>SUM(F7:F135)</f>
        <v>212</v>
      </c>
      <c r="G6" s="21">
        <f>AVERAGE(G7:G135)</f>
        <v>753568</v>
      </c>
      <c r="H6" s="21" t="s">
        <v>60</v>
      </c>
      <c r="I6" s="21">
        <f>SUM(I7:I135)</f>
        <v>323</v>
      </c>
      <c r="J6" s="21">
        <f>AVERAGE(J7:J212)</f>
        <v>756640.77669902914</v>
      </c>
      <c r="K6" s="21" t="s">
        <v>67</v>
      </c>
      <c r="L6" s="21">
        <f>SUM(L7:L135)</f>
        <v>307</v>
      </c>
      <c r="M6" s="21">
        <f>AVERAGE(M7:M420)</f>
        <v>821555.16908212565</v>
      </c>
      <c r="N6" s="21" t="s">
        <v>68</v>
      </c>
      <c r="O6" s="21">
        <f>SUM(O7:O135)</f>
        <v>316</v>
      </c>
      <c r="P6" s="21">
        <f>AVERAGE(P7:P420)</f>
        <v>737493.51851851854</v>
      </c>
      <c r="Q6" s="21" t="s">
        <v>69</v>
      </c>
      <c r="R6" s="21">
        <f>SUM(R7:R135)</f>
        <v>257</v>
      </c>
      <c r="S6" s="21">
        <f>AVERAGE(S7:S420)</f>
        <v>626948.45360824745</v>
      </c>
      <c r="U6" s="22" t="s">
        <v>104</v>
      </c>
      <c r="V6" s="10">
        <v>37</v>
      </c>
      <c r="W6" s="10">
        <v>53</v>
      </c>
      <c r="X6" s="10">
        <v>191</v>
      </c>
      <c r="Y6" s="10">
        <v>623</v>
      </c>
      <c r="Z6" s="10">
        <v>548</v>
      </c>
      <c r="AA6" s="10">
        <v>91</v>
      </c>
      <c r="AC6" s="136"/>
      <c r="AD6" s="136"/>
      <c r="AE6" s="136"/>
      <c r="AF6" s="136"/>
      <c r="AG6" s="136"/>
      <c r="AH6" s="136"/>
      <c r="AI6" s="136"/>
      <c r="AJ6" s="136"/>
    </row>
    <row r="7" spans="2:36">
      <c r="B7" s="4">
        <v>1989</v>
      </c>
      <c r="C7" s="4">
        <v>1</v>
      </c>
      <c r="D7" s="4">
        <v>1556000</v>
      </c>
      <c r="E7" s="4">
        <v>1979</v>
      </c>
      <c r="F7" s="4">
        <v>1</v>
      </c>
      <c r="G7" s="90">
        <v>1556000</v>
      </c>
      <c r="H7" s="4">
        <v>1969</v>
      </c>
      <c r="I7" s="4">
        <v>1</v>
      </c>
      <c r="J7" s="4">
        <v>1556000</v>
      </c>
      <c r="K7">
        <v>1959</v>
      </c>
      <c r="L7">
        <v>2</v>
      </c>
      <c r="M7">
        <v>1556000</v>
      </c>
      <c r="N7">
        <v>1949</v>
      </c>
      <c r="O7">
        <v>1</v>
      </c>
      <c r="P7">
        <v>1556000</v>
      </c>
      <c r="Q7">
        <v>1939</v>
      </c>
      <c r="R7">
        <v>1</v>
      </c>
      <c r="S7">
        <v>1390000</v>
      </c>
      <c r="U7" s="22" t="s">
        <v>105</v>
      </c>
      <c r="V7" s="10">
        <v>27</v>
      </c>
      <c r="W7" s="10">
        <v>14</v>
      </c>
      <c r="X7" s="10">
        <v>45</v>
      </c>
      <c r="Y7" s="10">
        <v>281</v>
      </c>
      <c r="Z7" s="10">
        <v>153</v>
      </c>
      <c r="AA7" s="10">
        <v>11</v>
      </c>
      <c r="AC7" s="136"/>
      <c r="AD7" s="136"/>
      <c r="AE7" s="136"/>
      <c r="AF7" s="136"/>
      <c r="AG7" s="136"/>
      <c r="AH7" s="136"/>
      <c r="AI7" s="136"/>
      <c r="AJ7" s="136"/>
    </row>
    <row r="8" spans="2:36">
      <c r="B8" s="4">
        <v>1989</v>
      </c>
      <c r="C8" s="4">
        <v>2</v>
      </c>
      <c r="D8" s="4">
        <v>1556000</v>
      </c>
      <c r="E8" s="4">
        <v>1979</v>
      </c>
      <c r="F8" s="4">
        <v>1</v>
      </c>
      <c r="G8" s="90">
        <v>1556000</v>
      </c>
      <c r="H8" s="4">
        <v>1969</v>
      </c>
      <c r="I8" s="4">
        <v>1</v>
      </c>
      <c r="J8" s="4">
        <v>1556000</v>
      </c>
      <c r="K8">
        <v>1959</v>
      </c>
      <c r="L8">
        <v>2</v>
      </c>
      <c r="M8">
        <v>1556000</v>
      </c>
      <c r="N8">
        <v>1949</v>
      </c>
      <c r="O8">
        <v>1</v>
      </c>
      <c r="P8">
        <v>1556000</v>
      </c>
      <c r="Q8">
        <v>1939</v>
      </c>
      <c r="R8">
        <v>1</v>
      </c>
      <c r="S8">
        <v>1269000</v>
      </c>
      <c r="U8" s="22" t="s">
        <v>70</v>
      </c>
      <c r="V8" s="10">
        <v>19</v>
      </c>
      <c r="W8" s="10">
        <v>34</v>
      </c>
      <c r="X8" s="10">
        <v>31</v>
      </c>
      <c r="Y8" s="10">
        <v>124</v>
      </c>
      <c r="Z8" s="10">
        <v>44</v>
      </c>
      <c r="AA8" s="10">
        <v>2</v>
      </c>
      <c r="AC8" s="136"/>
      <c r="AD8" s="136"/>
      <c r="AE8" s="136"/>
      <c r="AF8" s="136"/>
      <c r="AG8" s="136"/>
      <c r="AH8" s="136"/>
      <c r="AI8" s="136"/>
      <c r="AJ8" s="136"/>
    </row>
    <row r="9" spans="2:36">
      <c r="B9" s="4">
        <v>1989</v>
      </c>
      <c r="C9" s="4">
        <v>1</v>
      </c>
      <c r="D9" s="4">
        <v>1556000</v>
      </c>
      <c r="E9" s="4">
        <v>1979</v>
      </c>
      <c r="F9" s="4">
        <v>1</v>
      </c>
      <c r="G9" s="90">
        <v>1556000</v>
      </c>
      <c r="H9" s="4">
        <v>1969</v>
      </c>
      <c r="I9" s="4">
        <v>1</v>
      </c>
      <c r="J9" s="4">
        <v>1556000</v>
      </c>
      <c r="K9">
        <v>1959</v>
      </c>
      <c r="L9">
        <v>1</v>
      </c>
      <c r="M9">
        <v>1556000</v>
      </c>
      <c r="N9">
        <v>1949</v>
      </c>
      <c r="O9">
        <v>5</v>
      </c>
      <c r="P9">
        <v>1549000</v>
      </c>
      <c r="Q9">
        <v>1939</v>
      </c>
      <c r="R9">
        <v>1</v>
      </c>
      <c r="S9">
        <v>1199000</v>
      </c>
      <c r="AC9" s="136"/>
      <c r="AD9" s="136"/>
      <c r="AE9" s="136"/>
      <c r="AF9" s="136"/>
      <c r="AG9" s="136"/>
      <c r="AH9" s="136"/>
      <c r="AI9" s="136"/>
      <c r="AJ9" s="136"/>
    </row>
    <row r="10" spans="2:36">
      <c r="B10" s="4">
        <v>1989</v>
      </c>
      <c r="C10" s="4">
        <v>1</v>
      </c>
      <c r="D10" s="4">
        <v>1399000</v>
      </c>
      <c r="E10" s="4">
        <v>1979</v>
      </c>
      <c r="F10" s="4">
        <v>3</v>
      </c>
      <c r="G10" s="90">
        <v>1556000</v>
      </c>
      <c r="H10" s="4">
        <v>1969</v>
      </c>
      <c r="I10" s="4">
        <v>1</v>
      </c>
      <c r="J10" s="4">
        <v>1556000</v>
      </c>
      <c r="K10">
        <v>1959</v>
      </c>
      <c r="L10">
        <v>1</v>
      </c>
      <c r="M10">
        <v>1556000</v>
      </c>
      <c r="N10">
        <v>1949</v>
      </c>
      <c r="O10">
        <v>1</v>
      </c>
      <c r="P10">
        <v>1549000</v>
      </c>
      <c r="Q10">
        <v>1940</v>
      </c>
      <c r="R10">
        <v>1</v>
      </c>
      <c r="S10">
        <v>1190000</v>
      </c>
      <c r="U10" s="124" t="s">
        <v>72</v>
      </c>
      <c r="V10" s="124"/>
      <c r="W10" s="124"/>
      <c r="X10" s="124"/>
      <c r="Y10" s="124"/>
      <c r="Z10" s="124"/>
      <c r="AA10" s="124"/>
      <c r="AC10" s="136"/>
      <c r="AD10" s="136"/>
      <c r="AE10" s="136"/>
      <c r="AF10" s="136"/>
      <c r="AG10" s="136"/>
      <c r="AH10" s="136"/>
      <c r="AI10" s="136"/>
      <c r="AJ10" s="136"/>
    </row>
    <row r="11" spans="2:36">
      <c r="B11" s="4">
        <v>1989</v>
      </c>
      <c r="C11" s="4">
        <v>1</v>
      </c>
      <c r="D11" s="4">
        <v>1399000</v>
      </c>
      <c r="E11" s="4">
        <v>1979</v>
      </c>
      <c r="F11" s="4">
        <v>1</v>
      </c>
      <c r="G11" s="90">
        <v>1449000</v>
      </c>
      <c r="H11" s="4">
        <v>1969</v>
      </c>
      <c r="I11" s="4">
        <v>1</v>
      </c>
      <c r="J11" s="4">
        <v>1549000</v>
      </c>
      <c r="K11">
        <v>1959</v>
      </c>
      <c r="L11">
        <v>1</v>
      </c>
      <c r="M11">
        <v>1556000</v>
      </c>
      <c r="N11">
        <v>1949</v>
      </c>
      <c r="O11">
        <v>2</v>
      </c>
      <c r="P11">
        <v>1449000</v>
      </c>
      <c r="Q11">
        <v>1940</v>
      </c>
      <c r="R11">
        <v>1</v>
      </c>
      <c r="S11">
        <v>1149000</v>
      </c>
      <c r="U11" s="9" t="s">
        <v>32</v>
      </c>
      <c r="V11" s="9" t="s">
        <v>44</v>
      </c>
      <c r="W11" s="9" t="s">
        <v>39</v>
      </c>
      <c r="X11" s="9" t="s">
        <v>40</v>
      </c>
      <c r="Y11" s="9" t="s">
        <v>41</v>
      </c>
      <c r="Z11" s="9" t="s">
        <v>42</v>
      </c>
      <c r="AA11" s="9" t="s">
        <v>43</v>
      </c>
      <c r="AC11" s="136"/>
      <c r="AD11" s="136"/>
      <c r="AE11" s="136"/>
      <c r="AF11" s="136"/>
      <c r="AG11" s="136"/>
      <c r="AH11" s="136"/>
      <c r="AI11" s="136"/>
      <c r="AJ11" s="136"/>
    </row>
    <row r="12" spans="2:36">
      <c r="B12" s="4">
        <v>1989</v>
      </c>
      <c r="C12" s="4">
        <v>1</v>
      </c>
      <c r="D12" s="4">
        <v>1399000</v>
      </c>
      <c r="E12" s="4">
        <v>1979</v>
      </c>
      <c r="F12" s="4">
        <v>1</v>
      </c>
      <c r="G12" s="90">
        <v>1449000</v>
      </c>
      <c r="H12" s="4">
        <v>1969</v>
      </c>
      <c r="I12" s="4">
        <v>1</v>
      </c>
      <c r="J12" s="4">
        <v>1549000</v>
      </c>
      <c r="K12">
        <v>1959</v>
      </c>
      <c r="L12">
        <v>3</v>
      </c>
      <c r="M12">
        <v>1549000</v>
      </c>
      <c r="N12">
        <v>1949</v>
      </c>
      <c r="O12">
        <v>2</v>
      </c>
      <c r="P12">
        <v>1449000</v>
      </c>
      <c r="Q12">
        <v>1940</v>
      </c>
      <c r="R12">
        <v>1</v>
      </c>
      <c r="S12">
        <v>1099000</v>
      </c>
      <c r="U12" s="22" t="s">
        <v>102</v>
      </c>
      <c r="V12" s="23">
        <v>0.03</v>
      </c>
      <c r="W12" s="23">
        <v>0</v>
      </c>
      <c r="X12" s="23">
        <v>0</v>
      </c>
      <c r="Y12" s="23">
        <v>0</v>
      </c>
      <c r="Z12" s="23">
        <v>0.01</v>
      </c>
      <c r="AA12" s="23">
        <v>0.01</v>
      </c>
      <c r="AC12" s="136"/>
      <c r="AD12" s="136"/>
      <c r="AE12" s="136"/>
      <c r="AF12" s="136"/>
      <c r="AG12" s="136"/>
      <c r="AH12" s="136"/>
      <c r="AI12" s="136"/>
      <c r="AJ12" s="136"/>
    </row>
    <row r="13" spans="2:36">
      <c r="B13" s="4">
        <v>1989</v>
      </c>
      <c r="C13" s="4">
        <v>2</v>
      </c>
      <c r="D13" s="4">
        <v>1390000</v>
      </c>
      <c r="E13" s="4">
        <v>1979</v>
      </c>
      <c r="F13" s="4">
        <v>1</v>
      </c>
      <c r="G13" s="90">
        <v>1399000</v>
      </c>
      <c r="H13" s="4">
        <v>1969</v>
      </c>
      <c r="I13" s="4">
        <v>1</v>
      </c>
      <c r="J13" s="4">
        <v>1549000</v>
      </c>
      <c r="K13">
        <v>1959</v>
      </c>
      <c r="L13">
        <v>2</v>
      </c>
      <c r="M13">
        <v>1549000</v>
      </c>
      <c r="N13">
        <v>1949</v>
      </c>
      <c r="O13">
        <v>1</v>
      </c>
      <c r="P13">
        <v>1449000</v>
      </c>
      <c r="Q13">
        <v>1940</v>
      </c>
      <c r="R13">
        <v>2</v>
      </c>
      <c r="S13">
        <v>1099000</v>
      </c>
      <c r="U13" s="22" t="s">
        <v>103</v>
      </c>
      <c r="V13" s="23">
        <v>0.56000000000000005</v>
      </c>
      <c r="W13" s="23">
        <v>0.52</v>
      </c>
      <c r="X13" s="23">
        <v>0.54</v>
      </c>
      <c r="Y13" s="23">
        <v>0.46</v>
      </c>
      <c r="Z13" s="23">
        <v>0.49</v>
      </c>
      <c r="AA13" s="23">
        <v>0.59</v>
      </c>
      <c r="AC13" s="136"/>
      <c r="AD13" s="136"/>
      <c r="AE13" s="136"/>
      <c r="AF13" s="136"/>
      <c r="AG13" s="136"/>
      <c r="AH13" s="136"/>
      <c r="AI13" s="136"/>
      <c r="AJ13" s="136"/>
    </row>
    <row r="14" spans="2:36">
      <c r="B14" s="4">
        <v>1989</v>
      </c>
      <c r="C14" s="4">
        <v>2</v>
      </c>
      <c r="D14" s="4">
        <v>1390000</v>
      </c>
      <c r="E14" s="4">
        <v>1979</v>
      </c>
      <c r="F14" s="4">
        <v>1</v>
      </c>
      <c r="G14" s="90">
        <v>1399000</v>
      </c>
      <c r="H14" s="4">
        <v>1969</v>
      </c>
      <c r="I14" s="4">
        <v>1</v>
      </c>
      <c r="J14" s="4">
        <v>1429000</v>
      </c>
      <c r="K14">
        <v>1959</v>
      </c>
      <c r="L14">
        <v>1</v>
      </c>
      <c r="M14">
        <v>1549000</v>
      </c>
      <c r="N14">
        <v>1949</v>
      </c>
      <c r="O14">
        <v>1</v>
      </c>
      <c r="P14">
        <v>1449000</v>
      </c>
      <c r="Q14">
        <v>1940</v>
      </c>
      <c r="R14">
        <v>2</v>
      </c>
      <c r="S14">
        <v>1099000</v>
      </c>
      <c r="U14" s="22" t="s">
        <v>104</v>
      </c>
      <c r="V14" s="23">
        <v>0.18</v>
      </c>
      <c r="W14" s="23">
        <v>0.25</v>
      </c>
      <c r="X14" s="23">
        <v>0.33</v>
      </c>
      <c r="Y14" s="23">
        <v>0.33</v>
      </c>
      <c r="Z14" s="23">
        <v>0.36</v>
      </c>
      <c r="AA14" s="23">
        <v>0.35</v>
      </c>
      <c r="AC14" s="136"/>
      <c r="AD14" s="136"/>
      <c r="AE14" s="136"/>
      <c r="AF14" s="136"/>
      <c r="AG14" s="136"/>
      <c r="AH14" s="136"/>
      <c r="AI14" s="136"/>
      <c r="AJ14" s="136"/>
    </row>
    <row r="15" spans="2:36">
      <c r="B15" s="4">
        <v>1989</v>
      </c>
      <c r="C15" s="4">
        <v>2</v>
      </c>
      <c r="D15" s="4">
        <v>1390000</v>
      </c>
      <c r="E15" s="4">
        <v>1979</v>
      </c>
      <c r="F15" s="4">
        <v>3</v>
      </c>
      <c r="G15" s="90">
        <v>1399000</v>
      </c>
      <c r="H15" s="4">
        <v>1969</v>
      </c>
      <c r="I15" s="4">
        <v>1</v>
      </c>
      <c r="J15" s="4">
        <v>1429000</v>
      </c>
      <c r="K15">
        <v>1959</v>
      </c>
      <c r="L15">
        <v>1</v>
      </c>
      <c r="M15">
        <v>1549000</v>
      </c>
      <c r="N15">
        <v>1949</v>
      </c>
      <c r="O15">
        <v>1</v>
      </c>
      <c r="P15">
        <v>1449000</v>
      </c>
      <c r="Q15">
        <v>1940</v>
      </c>
      <c r="R15">
        <v>1</v>
      </c>
      <c r="S15">
        <v>1069000</v>
      </c>
      <c r="U15" s="22" t="s">
        <v>105</v>
      </c>
      <c r="V15" s="23">
        <v>0.13</v>
      </c>
      <c r="W15" s="23">
        <v>7.0000000000000007E-2</v>
      </c>
      <c r="X15" s="23">
        <v>0.08</v>
      </c>
      <c r="Y15" s="23">
        <v>0.15</v>
      </c>
      <c r="Z15" s="23">
        <v>0.1</v>
      </c>
      <c r="AA15" s="23">
        <v>0.04</v>
      </c>
      <c r="AC15" s="136"/>
      <c r="AD15" s="136"/>
      <c r="AE15" s="136"/>
      <c r="AF15" s="136"/>
      <c r="AG15" s="136"/>
      <c r="AH15" s="136"/>
      <c r="AI15" s="136"/>
      <c r="AJ15" s="136"/>
    </row>
    <row r="16" spans="2:36">
      <c r="B16" s="4">
        <v>1989</v>
      </c>
      <c r="C16" s="4">
        <v>2</v>
      </c>
      <c r="D16" s="4">
        <v>1390000</v>
      </c>
      <c r="E16" s="4">
        <v>1979</v>
      </c>
      <c r="F16" s="4">
        <v>1</v>
      </c>
      <c r="G16" s="90">
        <v>1390000</v>
      </c>
      <c r="H16" s="4">
        <v>1969</v>
      </c>
      <c r="I16" s="4">
        <v>3</v>
      </c>
      <c r="J16" s="4">
        <v>1390000</v>
      </c>
      <c r="K16">
        <v>1959</v>
      </c>
      <c r="L16">
        <v>1</v>
      </c>
      <c r="M16">
        <v>1549000</v>
      </c>
      <c r="N16">
        <v>1949</v>
      </c>
      <c r="O16">
        <v>1</v>
      </c>
      <c r="P16">
        <v>1449000</v>
      </c>
      <c r="Q16">
        <v>1941</v>
      </c>
      <c r="R16">
        <v>1</v>
      </c>
      <c r="S16">
        <v>999000</v>
      </c>
      <c r="U16" s="22" t="s">
        <v>70</v>
      </c>
      <c r="V16" s="23">
        <v>0.09</v>
      </c>
      <c r="W16" s="23">
        <v>0.16</v>
      </c>
      <c r="X16" s="23">
        <v>0.05</v>
      </c>
      <c r="Y16" s="23">
        <v>7.0000000000000007E-2</v>
      </c>
      <c r="Z16" s="23">
        <v>0.03</v>
      </c>
      <c r="AA16" s="23">
        <v>0.01</v>
      </c>
      <c r="AC16" s="136"/>
      <c r="AD16" s="136"/>
      <c r="AE16" s="136"/>
      <c r="AF16" s="136"/>
      <c r="AG16" s="136"/>
      <c r="AH16" s="136"/>
      <c r="AI16" s="136"/>
      <c r="AJ16" s="136"/>
    </row>
    <row r="17" spans="2:36">
      <c r="B17" s="4">
        <v>1990</v>
      </c>
      <c r="C17" s="4">
        <v>1</v>
      </c>
      <c r="D17" s="4">
        <v>1369000</v>
      </c>
      <c r="E17" s="4">
        <v>1979</v>
      </c>
      <c r="F17" s="4">
        <v>1</v>
      </c>
      <c r="G17" s="90">
        <v>1390000</v>
      </c>
      <c r="H17" s="4">
        <v>1969</v>
      </c>
      <c r="I17" s="4">
        <v>3</v>
      </c>
      <c r="J17" s="4">
        <v>1390000</v>
      </c>
      <c r="K17">
        <v>1959</v>
      </c>
      <c r="L17">
        <v>3</v>
      </c>
      <c r="M17">
        <v>1449000</v>
      </c>
      <c r="N17">
        <v>1949</v>
      </c>
      <c r="O17">
        <v>4</v>
      </c>
      <c r="P17">
        <v>1390000</v>
      </c>
      <c r="Q17">
        <v>1941</v>
      </c>
      <c r="R17">
        <v>1</v>
      </c>
      <c r="S17">
        <v>949000</v>
      </c>
      <c r="U17" s="24" t="s">
        <v>23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C17" s="136"/>
      <c r="AD17" s="136"/>
      <c r="AE17" s="136"/>
      <c r="AF17" s="136"/>
      <c r="AG17" s="136"/>
      <c r="AH17" s="136"/>
      <c r="AI17" s="136"/>
      <c r="AJ17" s="136"/>
    </row>
    <row r="18" spans="2:36">
      <c r="B18" s="4">
        <v>1990</v>
      </c>
      <c r="C18" s="4">
        <v>1</v>
      </c>
      <c r="D18" s="4">
        <v>1369000</v>
      </c>
      <c r="E18" s="4">
        <v>1979</v>
      </c>
      <c r="F18" s="4">
        <v>1</v>
      </c>
      <c r="G18" s="90">
        <v>1390000</v>
      </c>
      <c r="H18" s="4">
        <v>1969</v>
      </c>
      <c r="I18" s="4">
        <v>1</v>
      </c>
      <c r="J18" s="4">
        <v>1390000</v>
      </c>
      <c r="K18">
        <v>1959</v>
      </c>
      <c r="L18">
        <v>1</v>
      </c>
      <c r="M18">
        <v>1449000</v>
      </c>
      <c r="N18">
        <v>1949</v>
      </c>
      <c r="O18">
        <v>2</v>
      </c>
      <c r="P18">
        <v>1390000</v>
      </c>
      <c r="Q18">
        <v>1941</v>
      </c>
      <c r="R18">
        <v>1</v>
      </c>
      <c r="S18">
        <v>899000</v>
      </c>
      <c r="AC18" s="136"/>
      <c r="AD18" s="136"/>
      <c r="AE18" s="136"/>
      <c r="AF18" s="136"/>
      <c r="AG18" s="136"/>
      <c r="AH18" s="136"/>
      <c r="AI18" s="136"/>
      <c r="AJ18" s="136"/>
    </row>
    <row r="19" spans="2:36">
      <c r="B19" s="4">
        <v>1990</v>
      </c>
      <c r="C19" s="4">
        <v>1</v>
      </c>
      <c r="D19" s="4">
        <v>1249000</v>
      </c>
      <c r="E19" s="4">
        <v>1979</v>
      </c>
      <c r="F19" s="4">
        <v>1</v>
      </c>
      <c r="G19" s="90">
        <v>1390000</v>
      </c>
      <c r="H19" s="4">
        <v>1969</v>
      </c>
      <c r="I19" s="4">
        <v>1</v>
      </c>
      <c r="J19" s="4">
        <v>1390000</v>
      </c>
      <c r="K19">
        <v>1959</v>
      </c>
      <c r="L19">
        <v>1</v>
      </c>
      <c r="M19">
        <v>1449000</v>
      </c>
      <c r="N19">
        <v>1949</v>
      </c>
      <c r="O19">
        <v>1</v>
      </c>
      <c r="P19">
        <v>1390000</v>
      </c>
      <c r="Q19">
        <v>1941</v>
      </c>
      <c r="R19">
        <v>1</v>
      </c>
      <c r="S19">
        <v>899000</v>
      </c>
      <c r="AC19" s="136"/>
      <c r="AD19" s="136"/>
      <c r="AE19" s="136"/>
      <c r="AF19" s="136"/>
      <c r="AG19" s="136"/>
      <c r="AH19" s="136"/>
      <c r="AI19" s="136"/>
      <c r="AJ19" s="136"/>
    </row>
    <row r="20" spans="2:36">
      <c r="B20" s="4">
        <v>1990</v>
      </c>
      <c r="C20" s="4">
        <v>1</v>
      </c>
      <c r="D20" s="4">
        <v>1249000</v>
      </c>
      <c r="E20" s="4">
        <v>1979</v>
      </c>
      <c r="F20" s="4">
        <v>2</v>
      </c>
      <c r="G20" s="90">
        <v>1390000</v>
      </c>
      <c r="H20" s="4">
        <v>1969</v>
      </c>
      <c r="I20" s="4">
        <v>1</v>
      </c>
      <c r="J20" s="4">
        <v>1390000</v>
      </c>
      <c r="K20">
        <v>1959</v>
      </c>
      <c r="L20">
        <v>1</v>
      </c>
      <c r="M20">
        <v>1449000</v>
      </c>
      <c r="N20">
        <v>1949</v>
      </c>
      <c r="O20">
        <v>1</v>
      </c>
      <c r="P20">
        <v>1390000</v>
      </c>
      <c r="Q20">
        <v>1941</v>
      </c>
      <c r="R20">
        <v>2</v>
      </c>
      <c r="S20">
        <v>899000</v>
      </c>
      <c r="AC20" s="136"/>
      <c r="AD20" s="136"/>
      <c r="AE20" s="136"/>
      <c r="AF20" s="136"/>
      <c r="AG20" s="136"/>
      <c r="AH20" s="136"/>
      <c r="AI20" s="136"/>
      <c r="AJ20" s="136"/>
    </row>
    <row r="21" spans="2:36">
      <c r="B21" s="4">
        <v>1990</v>
      </c>
      <c r="C21" s="4">
        <v>2</v>
      </c>
      <c r="D21" s="4">
        <v>1199000</v>
      </c>
      <c r="E21" s="4">
        <v>1980</v>
      </c>
      <c r="F21" s="4">
        <v>2</v>
      </c>
      <c r="G21" s="90">
        <v>1390000</v>
      </c>
      <c r="H21" s="4">
        <v>1969</v>
      </c>
      <c r="I21" s="4">
        <v>2</v>
      </c>
      <c r="J21" s="4">
        <v>1349000</v>
      </c>
      <c r="K21">
        <v>1959</v>
      </c>
      <c r="L21">
        <v>1</v>
      </c>
      <c r="M21">
        <v>1449000</v>
      </c>
      <c r="N21">
        <v>1949</v>
      </c>
      <c r="O21">
        <v>1</v>
      </c>
      <c r="P21">
        <v>1329000</v>
      </c>
      <c r="Q21">
        <v>1941</v>
      </c>
      <c r="R21">
        <v>3</v>
      </c>
      <c r="S21">
        <v>899000</v>
      </c>
      <c r="AC21" s="136"/>
      <c r="AD21" s="136"/>
      <c r="AE21" s="136"/>
      <c r="AF21" s="136"/>
      <c r="AG21" s="136"/>
      <c r="AH21" s="136"/>
      <c r="AI21" s="136"/>
      <c r="AJ21" s="136"/>
    </row>
    <row r="22" spans="2:36">
      <c r="B22" s="4">
        <v>1990</v>
      </c>
      <c r="C22" s="4">
        <v>1</v>
      </c>
      <c r="D22" s="4">
        <v>1199000</v>
      </c>
      <c r="E22" s="4">
        <v>1980</v>
      </c>
      <c r="F22" s="4">
        <v>2</v>
      </c>
      <c r="G22" s="90">
        <v>1390000</v>
      </c>
      <c r="H22" s="4">
        <v>1969</v>
      </c>
      <c r="I22" s="4">
        <v>1</v>
      </c>
      <c r="J22" s="4">
        <v>1349000</v>
      </c>
      <c r="K22">
        <v>1959</v>
      </c>
      <c r="L22">
        <v>1</v>
      </c>
      <c r="M22">
        <v>1449000</v>
      </c>
      <c r="N22">
        <v>1949</v>
      </c>
      <c r="O22">
        <v>2</v>
      </c>
      <c r="P22">
        <v>1300000</v>
      </c>
      <c r="Q22">
        <v>1941</v>
      </c>
      <c r="R22">
        <v>1</v>
      </c>
      <c r="S22">
        <v>889000</v>
      </c>
      <c r="AC22" s="136"/>
      <c r="AD22" s="136"/>
      <c r="AE22" s="136"/>
      <c r="AF22" s="136"/>
      <c r="AG22" s="136"/>
      <c r="AH22" s="136"/>
      <c r="AI22" s="136"/>
      <c r="AJ22" s="136"/>
    </row>
    <row r="23" spans="2:36">
      <c r="B23" s="4">
        <v>1990</v>
      </c>
      <c r="C23" s="4">
        <v>1</v>
      </c>
      <c r="D23" s="4">
        <v>1190000</v>
      </c>
      <c r="E23" s="4">
        <v>1980</v>
      </c>
      <c r="F23" s="4">
        <v>3</v>
      </c>
      <c r="G23" s="90">
        <v>1390000</v>
      </c>
      <c r="H23" s="4">
        <v>1969</v>
      </c>
      <c r="I23" s="4">
        <v>1</v>
      </c>
      <c r="J23" s="4">
        <v>1329000</v>
      </c>
      <c r="K23">
        <v>1959</v>
      </c>
      <c r="L23">
        <v>1</v>
      </c>
      <c r="M23">
        <v>1449000</v>
      </c>
      <c r="N23">
        <v>1949</v>
      </c>
      <c r="O23">
        <v>1</v>
      </c>
      <c r="P23">
        <v>1300000</v>
      </c>
      <c r="Q23">
        <v>1941</v>
      </c>
      <c r="R23">
        <v>1</v>
      </c>
      <c r="S23">
        <v>839000</v>
      </c>
      <c r="AC23" s="136"/>
      <c r="AD23" s="136"/>
      <c r="AE23" s="136"/>
      <c r="AF23" s="136"/>
      <c r="AG23" s="136"/>
      <c r="AH23" s="136"/>
      <c r="AI23" s="136"/>
      <c r="AJ23" s="136"/>
    </row>
    <row r="24" spans="2:36">
      <c r="B24" s="4">
        <v>1990</v>
      </c>
      <c r="C24" s="4">
        <v>1</v>
      </c>
      <c r="D24" s="4">
        <v>1190000</v>
      </c>
      <c r="E24" s="4">
        <v>1980</v>
      </c>
      <c r="F24" s="4">
        <v>5</v>
      </c>
      <c r="G24" s="90">
        <v>1390000</v>
      </c>
      <c r="H24" s="4">
        <v>1969</v>
      </c>
      <c r="I24" s="4">
        <v>1</v>
      </c>
      <c r="J24" s="4">
        <v>1329000</v>
      </c>
      <c r="K24">
        <v>1959</v>
      </c>
      <c r="L24">
        <v>2</v>
      </c>
      <c r="M24">
        <v>1399000</v>
      </c>
      <c r="N24">
        <v>1949</v>
      </c>
      <c r="O24">
        <v>1</v>
      </c>
      <c r="P24">
        <v>1299000</v>
      </c>
      <c r="Q24">
        <v>1941</v>
      </c>
      <c r="R24">
        <v>1</v>
      </c>
      <c r="S24">
        <v>839000</v>
      </c>
      <c r="AC24" s="136"/>
      <c r="AD24" s="136"/>
      <c r="AE24" s="136"/>
      <c r="AF24" s="136"/>
      <c r="AG24" s="136"/>
      <c r="AH24" s="136"/>
      <c r="AI24" s="136"/>
      <c r="AJ24" s="136"/>
    </row>
    <row r="25" spans="2:36">
      <c r="B25" s="4">
        <v>1990</v>
      </c>
      <c r="C25" s="4">
        <v>2</v>
      </c>
      <c r="D25" s="4">
        <v>1190000</v>
      </c>
      <c r="E25" s="4">
        <v>1980</v>
      </c>
      <c r="F25" s="4">
        <v>1</v>
      </c>
      <c r="G25" s="90">
        <v>1329000</v>
      </c>
      <c r="H25" s="4">
        <v>1969</v>
      </c>
      <c r="I25" s="4">
        <v>1</v>
      </c>
      <c r="J25" s="4">
        <v>1329000</v>
      </c>
      <c r="K25">
        <v>1959</v>
      </c>
      <c r="L25">
        <v>2</v>
      </c>
      <c r="M25">
        <v>1399000</v>
      </c>
      <c r="N25">
        <v>1949</v>
      </c>
      <c r="O25">
        <v>1</v>
      </c>
      <c r="P25">
        <v>1299000</v>
      </c>
      <c r="Q25">
        <v>1942</v>
      </c>
      <c r="R25">
        <v>1</v>
      </c>
      <c r="S25">
        <v>812000</v>
      </c>
      <c r="AC25" s="136"/>
      <c r="AD25" s="136"/>
      <c r="AE25" s="136"/>
      <c r="AF25" s="136"/>
      <c r="AG25" s="136"/>
      <c r="AH25" s="136"/>
      <c r="AI25" s="136"/>
      <c r="AJ25" s="136"/>
    </row>
    <row r="26" spans="2:36">
      <c r="B26" s="4">
        <v>1990</v>
      </c>
      <c r="C26" s="4">
        <v>1</v>
      </c>
      <c r="D26" s="4">
        <v>1149000</v>
      </c>
      <c r="E26" s="4">
        <v>1980</v>
      </c>
      <c r="F26" s="4">
        <v>1</v>
      </c>
      <c r="G26" s="90">
        <v>1290000</v>
      </c>
      <c r="H26" s="4">
        <v>1969</v>
      </c>
      <c r="I26" s="4">
        <v>1</v>
      </c>
      <c r="J26" s="4">
        <v>1299000</v>
      </c>
      <c r="K26">
        <v>1959</v>
      </c>
      <c r="L26">
        <v>2</v>
      </c>
      <c r="M26">
        <v>1399000</v>
      </c>
      <c r="N26">
        <v>1949</v>
      </c>
      <c r="O26">
        <v>1</v>
      </c>
      <c r="P26">
        <v>1299000</v>
      </c>
      <c r="Q26">
        <v>1942</v>
      </c>
      <c r="R26">
        <v>2</v>
      </c>
      <c r="S26">
        <v>812000</v>
      </c>
      <c r="AC26" s="136"/>
      <c r="AD26" s="136"/>
      <c r="AE26" s="136"/>
      <c r="AF26" s="136"/>
      <c r="AG26" s="136"/>
      <c r="AH26" s="136"/>
      <c r="AI26" s="136"/>
      <c r="AJ26" s="136"/>
    </row>
    <row r="27" spans="2:36">
      <c r="B27" s="4">
        <v>1990</v>
      </c>
      <c r="C27" s="4">
        <v>1</v>
      </c>
      <c r="D27" s="4">
        <v>1149000</v>
      </c>
      <c r="E27" s="4">
        <v>1980</v>
      </c>
      <c r="F27" s="4">
        <v>1</v>
      </c>
      <c r="G27" s="90">
        <v>1290000</v>
      </c>
      <c r="H27" s="4">
        <v>1969</v>
      </c>
      <c r="I27" s="4">
        <v>1</v>
      </c>
      <c r="J27" s="4">
        <v>1299000</v>
      </c>
      <c r="K27">
        <v>1959</v>
      </c>
      <c r="L27">
        <v>1</v>
      </c>
      <c r="M27">
        <v>1399000</v>
      </c>
      <c r="N27">
        <v>1949</v>
      </c>
      <c r="O27">
        <v>1</v>
      </c>
      <c r="P27">
        <v>1299000</v>
      </c>
      <c r="Q27">
        <v>1942</v>
      </c>
      <c r="R27">
        <v>2</v>
      </c>
      <c r="S27">
        <v>799000</v>
      </c>
      <c r="AC27" s="136"/>
      <c r="AD27" s="136"/>
      <c r="AE27" s="136"/>
      <c r="AF27" s="136"/>
      <c r="AG27" s="136"/>
      <c r="AH27" s="136"/>
      <c r="AI27" s="136"/>
      <c r="AJ27" s="136"/>
    </row>
    <row r="28" spans="2:36">
      <c r="B28" s="4">
        <v>1990</v>
      </c>
      <c r="C28" s="4">
        <v>1</v>
      </c>
      <c r="D28" s="4">
        <v>1149000</v>
      </c>
      <c r="E28" s="4">
        <v>1980</v>
      </c>
      <c r="F28" s="4">
        <v>1</v>
      </c>
      <c r="G28" s="90">
        <v>1190000</v>
      </c>
      <c r="H28" s="4">
        <v>1969</v>
      </c>
      <c r="I28" s="4">
        <v>2</v>
      </c>
      <c r="J28" s="4">
        <v>1269000</v>
      </c>
      <c r="K28">
        <v>1959</v>
      </c>
      <c r="L28">
        <v>10</v>
      </c>
      <c r="M28">
        <v>1390000</v>
      </c>
      <c r="N28">
        <v>1949</v>
      </c>
      <c r="O28">
        <v>1</v>
      </c>
      <c r="P28">
        <v>1299000</v>
      </c>
      <c r="Q28">
        <v>1942</v>
      </c>
      <c r="R28">
        <v>2</v>
      </c>
      <c r="S28">
        <v>799000</v>
      </c>
      <c r="AC28" s="136"/>
      <c r="AD28" s="136"/>
      <c r="AE28" s="136"/>
      <c r="AF28" s="136"/>
      <c r="AG28" s="136"/>
      <c r="AH28" s="136"/>
      <c r="AI28" s="136"/>
      <c r="AJ28" s="136"/>
    </row>
    <row r="29" spans="2:36">
      <c r="B29" s="4">
        <v>1990</v>
      </c>
      <c r="C29" s="4">
        <v>2</v>
      </c>
      <c r="D29" s="4">
        <v>1099000</v>
      </c>
      <c r="E29" s="4">
        <v>1980</v>
      </c>
      <c r="F29" s="4">
        <v>1</v>
      </c>
      <c r="G29" s="90">
        <v>1190000</v>
      </c>
      <c r="H29" s="4">
        <v>1969</v>
      </c>
      <c r="I29" s="4">
        <v>1</v>
      </c>
      <c r="J29" s="4">
        <v>1269000</v>
      </c>
      <c r="K29">
        <v>1959</v>
      </c>
      <c r="L29">
        <v>5</v>
      </c>
      <c r="M29">
        <v>1390000</v>
      </c>
      <c r="N29">
        <v>1949</v>
      </c>
      <c r="O29">
        <v>1</v>
      </c>
      <c r="P29">
        <v>1299000</v>
      </c>
      <c r="Q29">
        <v>1942</v>
      </c>
      <c r="R29">
        <v>3</v>
      </c>
      <c r="S29">
        <v>799000</v>
      </c>
      <c r="AC29" s="136"/>
      <c r="AD29" s="136"/>
      <c r="AE29" s="136"/>
      <c r="AF29" s="136"/>
      <c r="AG29" s="136"/>
      <c r="AH29" s="136"/>
      <c r="AI29" s="136"/>
      <c r="AJ29" s="136"/>
    </row>
    <row r="30" spans="2:36">
      <c r="B30" s="4">
        <v>1990</v>
      </c>
      <c r="C30" s="4">
        <v>1</v>
      </c>
      <c r="D30" s="4">
        <v>1099000</v>
      </c>
      <c r="E30" s="4">
        <v>1980</v>
      </c>
      <c r="F30" s="4">
        <v>1</v>
      </c>
      <c r="G30" s="90">
        <v>1190000</v>
      </c>
      <c r="H30" s="4">
        <v>1969</v>
      </c>
      <c r="I30" s="4">
        <v>1</v>
      </c>
      <c r="J30" s="4">
        <v>1249000</v>
      </c>
      <c r="K30">
        <v>1959</v>
      </c>
      <c r="L30">
        <v>5</v>
      </c>
      <c r="M30">
        <v>1390000</v>
      </c>
      <c r="N30">
        <v>1949</v>
      </c>
      <c r="O30">
        <v>3</v>
      </c>
      <c r="P30">
        <v>1269000</v>
      </c>
      <c r="Q30">
        <v>1942</v>
      </c>
      <c r="R30">
        <v>6</v>
      </c>
      <c r="S30">
        <v>799000</v>
      </c>
      <c r="AC30" s="136"/>
      <c r="AD30" s="136"/>
      <c r="AE30" s="136"/>
      <c r="AF30" s="136"/>
      <c r="AG30" s="136"/>
      <c r="AH30" s="136"/>
      <c r="AI30" s="136"/>
      <c r="AJ30" s="136"/>
    </row>
    <row r="31" spans="2:36">
      <c r="B31" s="4">
        <v>1990</v>
      </c>
      <c r="C31" s="4">
        <v>1</v>
      </c>
      <c r="D31" s="4">
        <v>1099000</v>
      </c>
      <c r="E31" s="4">
        <v>1980</v>
      </c>
      <c r="F31" s="4">
        <v>2</v>
      </c>
      <c r="G31" s="90">
        <v>1190000</v>
      </c>
      <c r="H31" s="4">
        <v>1969</v>
      </c>
      <c r="I31" s="4">
        <v>1</v>
      </c>
      <c r="J31" s="4">
        <v>1249000</v>
      </c>
      <c r="K31">
        <v>1959</v>
      </c>
      <c r="L31">
        <v>5</v>
      </c>
      <c r="M31">
        <v>1390000</v>
      </c>
      <c r="N31">
        <v>1949</v>
      </c>
      <c r="O31">
        <v>3</v>
      </c>
      <c r="P31">
        <v>1269000</v>
      </c>
      <c r="Q31">
        <v>1942</v>
      </c>
      <c r="R31">
        <v>1</v>
      </c>
      <c r="S31">
        <v>749000</v>
      </c>
      <c r="AC31" s="136"/>
      <c r="AD31" s="136"/>
      <c r="AE31" s="136"/>
      <c r="AF31" s="136"/>
      <c r="AG31" s="136"/>
      <c r="AH31" s="136"/>
      <c r="AI31" s="136"/>
      <c r="AJ31" s="136"/>
    </row>
    <row r="32" spans="2:36">
      <c r="B32" s="4">
        <v>1990</v>
      </c>
      <c r="C32" s="4">
        <v>1</v>
      </c>
      <c r="D32" s="4">
        <v>1099000</v>
      </c>
      <c r="E32" s="4">
        <v>1981</v>
      </c>
      <c r="F32" s="4">
        <v>2</v>
      </c>
      <c r="G32" s="90">
        <v>1190000</v>
      </c>
      <c r="H32" s="4">
        <v>1969</v>
      </c>
      <c r="I32" s="4">
        <v>3</v>
      </c>
      <c r="J32" s="4">
        <v>1199000</v>
      </c>
      <c r="K32">
        <v>1959</v>
      </c>
      <c r="L32">
        <v>4</v>
      </c>
      <c r="M32">
        <v>1390000</v>
      </c>
      <c r="N32">
        <v>1949</v>
      </c>
      <c r="O32">
        <v>2</v>
      </c>
      <c r="P32">
        <v>1269000</v>
      </c>
      <c r="Q32">
        <v>1943</v>
      </c>
      <c r="R32">
        <v>1</v>
      </c>
      <c r="S32">
        <v>749000</v>
      </c>
      <c r="AC32" s="136"/>
      <c r="AD32" s="136"/>
      <c r="AE32" s="136"/>
      <c r="AF32" s="136"/>
      <c r="AG32" s="136"/>
      <c r="AH32" s="136"/>
      <c r="AI32" s="136"/>
      <c r="AJ32" s="136"/>
    </row>
    <row r="33" spans="2:36">
      <c r="B33" s="4">
        <v>1990</v>
      </c>
      <c r="C33" s="4">
        <v>1</v>
      </c>
      <c r="D33" s="4">
        <v>1099000</v>
      </c>
      <c r="E33" s="4">
        <v>1981</v>
      </c>
      <c r="F33" s="4">
        <v>1</v>
      </c>
      <c r="G33" s="90">
        <v>1099000</v>
      </c>
      <c r="H33" s="4">
        <v>1969</v>
      </c>
      <c r="I33" s="4">
        <v>2</v>
      </c>
      <c r="J33" s="4">
        <v>1199000</v>
      </c>
      <c r="K33">
        <v>1959</v>
      </c>
      <c r="L33">
        <v>3</v>
      </c>
      <c r="M33">
        <v>1390000</v>
      </c>
      <c r="N33">
        <v>1949</v>
      </c>
      <c r="O33">
        <v>1</v>
      </c>
      <c r="P33">
        <v>1269000</v>
      </c>
      <c r="Q33">
        <v>1943</v>
      </c>
      <c r="R33">
        <v>1</v>
      </c>
      <c r="S33">
        <v>729000</v>
      </c>
      <c r="AC33" s="136"/>
      <c r="AD33" s="136"/>
      <c r="AE33" s="136"/>
      <c r="AF33" s="136"/>
      <c r="AG33" s="136"/>
      <c r="AH33" s="136"/>
      <c r="AI33" s="136"/>
      <c r="AJ33" s="136"/>
    </row>
    <row r="34" spans="2:36">
      <c r="B34" s="4">
        <v>1991</v>
      </c>
      <c r="C34" s="4">
        <v>2</v>
      </c>
      <c r="D34" s="4">
        <v>1090000</v>
      </c>
      <c r="E34" s="4">
        <v>1981</v>
      </c>
      <c r="F34" s="4">
        <v>1</v>
      </c>
      <c r="G34" s="90">
        <v>1099000</v>
      </c>
      <c r="H34" s="4">
        <v>1969</v>
      </c>
      <c r="I34" s="4">
        <v>2</v>
      </c>
      <c r="J34" s="4">
        <v>1199000</v>
      </c>
      <c r="K34">
        <v>1959</v>
      </c>
      <c r="L34">
        <v>3</v>
      </c>
      <c r="M34">
        <v>1390000</v>
      </c>
      <c r="N34">
        <v>1950</v>
      </c>
      <c r="O34">
        <v>1</v>
      </c>
      <c r="P34">
        <v>1269000</v>
      </c>
      <c r="Q34">
        <v>1943</v>
      </c>
      <c r="R34">
        <v>1</v>
      </c>
      <c r="S34">
        <v>729000</v>
      </c>
      <c r="AC34" s="136"/>
      <c r="AD34" s="136"/>
      <c r="AE34" s="136"/>
      <c r="AF34" s="136"/>
      <c r="AG34" s="136"/>
      <c r="AH34" s="136"/>
      <c r="AI34" s="136"/>
      <c r="AJ34" s="136"/>
    </row>
    <row r="35" spans="2:36">
      <c r="B35" s="4">
        <v>1991</v>
      </c>
      <c r="C35" s="4">
        <v>1</v>
      </c>
      <c r="D35" s="4">
        <v>1090000</v>
      </c>
      <c r="E35" s="4">
        <v>1981</v>
      </c>
      <c r="F35" s="4">
        <v>1</v>
      </c>
      <c r="G35" s="90">
        <v>1099000</v>
      </c>
      <c r="H35" s="4">
        <v>1969</v>
      </c>
      <c r="I35" s="4">
        <v>1</v>
      </c>
      <c r="J35" s="4">
        <v>1199000</v>
      </c>
      <c r="K35">
        <v>1959</v>
      </c>
      <c r="L35">
        <v>3</v>
      </c>
      <c r="M35">
        <v>1390000</v>
      </c>
      <c r="N35">
        <v>1950</v>
      </c>
      <c r="O35">
        <v>2</v>
      </c>
      <c r="P35">
        <v>1199000</v>
      </c>
      <c r="Q35">
        <v>1943</v>
      </c>
      <c r="R35">
        <v>1</v>
      </c>
      <c r="S35">
        <v>729000</v>
      </c>
      <c r="AC35" s="136"/>
      <c r="AD35" s="136"/>
      <c r="AE35" s="136"/>
      <c r="AF35" s="136"/>
      <c r="AG35" s="136"/>
      <c r="AH35" s="136"/>
      <c r="AI35" s="136"/>
      <c r="AJ35" s="136"/>
    </row>
    <row r="36" spans="2:36">
      <c r="B36" s="4">
        <v>1991</v>
      </c>
      <c r="C36" s="4">
        <v>1</v>
      </c>
      <c r="D36" s="4">
        <v>1090000</v>
      </c>
      <c r="E36" s="4">
        <v>1981</v>
      </c>
      <c r="F36" s="4">
        <v>1</v>
      </c>
      <c r="G36" s="90">
        <v>1049000</v>
      </c>
      <c r="H36" s="4">
        <v>1969</v>
      </c>
      <c r="I36" s="4">
        <v>2</v>
      </c>
      <c r="J36" s="4">
        <v>1190000</v>
      </c>
      <c r="K36">
        <v>1959</v>
      </c>
      <c r="L36">
        <v>2</v>
      </c>
      <c r="M36">
        <v>1390000</v>
      </c>
      <c r="N36">
        <v>1950</v>
      </c>
      <c r="O36">
        <v>1</v>
      </c>
      <c r="P36">
        <v>1199000</v>
      </c>
      <c r="Q36">
        <v>1943</v>
      </c>
      <c r="R36">
        <v>1</v>
      </c>
      <c r="S36">
        <v>700000</v>
      </c>
      <c r="AC36" s="136"/>
      <c r="AD36" s="136"/>
      <c r="AE36" s="136"/>
      <c r="AF36" s="136"/>
      <c r="AG36" s="136"/>
      <c r="AH36" s="136"/>
      <c r="AI36" s="136"/>
      <c r="AJ36" s="136"/>
    </row>
    <row r="37" spans="2:36">
      <c r="B37" s="4">
        <v>1991</v>
      </c>
      <c r="C37" s="4">
        <v>1</v>
      </c>
      <c r="D37" s="4">
        <v>1090000</v>
      </c>
      <c r="E37" s="4">
        <v>1981</v>
      </c>
      <c r="F37" s="4">
        <v>1</v>
      </c>
      <c r="G37" s="90">
        <v>1049000</v>
      </c>
      <c r="H37" s="4">
        <v>1969</v>
      </c>
      <c r="I37" s="4">
        <v>1</v>
      </c>
      <c r="J37" s="4">
        <v>1190000</v>
      </c>
      <c r="K37">
        <v>1959</v>
      </c>
      <c r="L37">
        <v>2</v>
      </c>
      <c r="M37">
        <v>1369000</v>
      </c>
      <c r="N37">
        <v>1950</v>
      </c>
      <c r="O37">
        <v>1</v>
      </c>
      <c r="P37">
        <v>1199000</v>
      </c>
      <c r="Q37">
        <v>1943</v>
      </c>
      <c r="R37">
        <v>1</v>
      </c>
      <c r="S37">
        <v>700000</v>
      </c>
      <c r="AC37" s="136"/>
      <c r="AD37" s="136"/>
      <c r="AE37" s="136"/>
      <c r="AF37" s="136"/>
      <c r="AG37" s="136"/>
      <c r="AH37" s="136"/>
      <c r="AI37" s="136"/>
      <c r="AJ37" s="136"/>
    </row>
    <row r="38" spans="2:36">
      <c r="B38" s="4">
        <v>1991</v>
      </c>
      <c r="C38" s="4">
        <v>1</v>
      </c>
      <c r="D38" s="4">
        <v>1029000</v>
      </c>
      <c r="E38" s="4">
        <v>1981</v>
      </c>
      <c r="F38" s="4">
        <v>1</v>
      </c>
      <c r="G38" s="90">
        <v>1029000</v>
      </c>
      <c r="H38" s="4">
        <v>1969</v>
      </c>
      <c r="I38" s="4">
        <v>1</v>
      </c>
      <c r="J38" s="4">
        <v>1190000</v>
      </c>
      <c r="K38">
        <v>1959</v>
      </c>
      <c r="L38">
        <v>2</v>
      </c>
      <c r="M38">
        <v>1353000</v>
      </c>
      <c r="N38">
        <v>1950</v>
      </c>
      <c r="O38">
        <v>6</v>
      </c>
      <c r="P38">
        <v>1190000</v>
      </c>
      <c r="Q38">
        <v>1943</v>
      </c>
      <c r="R38">
        <v>1</v>
      </c>
      <c r="S38">
        <v>699000</v>
      </c>
      <c r="AC38" s="136"/>
      <c r="AD38" s="136"/>
      <c r="AE38" s="136"/>
      <c r="AF38" s="136"/>
      <c r="AG38" s="136"/>
      <c r="AH38" s="136"/>
      <c r="AI38" s="136"/>
      <c r="AJ38" s="136"/>
    </row>
    <row r="39" spans="2:36">
      <c r="B39" s="4">
        <v>1991</v>
      </c>
      <c r="C39" s="4">
        <v>1</v>
      </c>
      <c r="D39" s="4">
        <v>1029000</v>
      </c>
      <c r="E39" s="4">
        <v>1981</v>
      </c>
      <c r="F39" s="4">
        <v>1</v>
      </c>
      <c r="G39" s="90">
        <v>999000</v>
      </c>
      <c r="H39" s="4">
        <v>1969</v>
      </c>
      <c r="I39" s="4">
        <v>1</v>
      </c>
      <c r="J39" s="4">
        <v>1190000</v>
      </c>
      <c r="K39">
        <v>1959</v>
      </c>
      <c r="L39">
        <v>2</v>
      </c>
      <c r="M39">
        <v>1353000</v>
      </c>
      <c r="N39">
        <v>1950</v>
      </c>
      <c r="O39">
        <v>4</v>
      </c>
      <c r="P39">
        <v>1190000</v>
      </c>
      <c r="Q39">
        <v>1944</v>
      </c>
      <c r="R39">
        <v>3</v>
      </c>
      <c r="S39">
        <v>699000</v>
      </c>
      <c r="AC39" s="136"/>
      <c r="AD39" s="136"/>
      <c r="AE39" s="136"/>
      <c r="AF39" s="136"/>
      <c r="AG39" s="136"/>
      <c r="AH39" s="136"/>
      <c r="AI39" s="136"/>
      <c r="AJ39" s="136"/>
    </row>
    <row r="40" spans="2:36">
      <c r="B40" s="4">
        <v>1991</v>
      </c>
      <c r="C40" s="4">
        <v>1</v>
      </c>
      <c r="D40" s="4">
        <v>999000</v>
      </c>
      <c r="E40" s="4">
        <v>1981</v>
      </c>
      <c r="F40" s="4">
        <v>1</v>
      </c>
      <c r="G40" s="90">
        <v>899000</v>
      </c>
      <c r="H40" s="4">
        <v>1969</v>
      </c>
      <c r="I40" s="4">
        <v>1</v>
      </c>
      <c r="J40" s="4">
        <v>1180000</v>
      </c>
      <c r="K40">
        <v>1959</v>
      </c>
      <c r="L40">
        <v>1</v>
      </c>
      <c r="M40">
        <v>1353000</v>
      </c>
      <c r="N40">
        <v>1950</v>
      </c>
      <c r="O40">
        <v>2</v>
      </c>
      <c r="P40">
        <v>1190000</v>
      </c>
      <c r="Q40">
        <v>1944</v>
      </c>
      <c r="R40">
        <v>3</v>
      </c>
      <c r="S40">
        <v>699000</v>
      </c>
      <c r="AC40" s="136"/>
      <c r="AD40" s="136"/>
      <c r="AE40" s="136"/>
      <c r="AF40" s="136"/>
      <c r="AG40" s="136"/>
      <c r="AH40" s="136"/>
      <c r="AI40" s="136"/>
      <c r="AJ40" s="136"/>
    </row>
    <row r="41" spans="2:36">
      <c r="B41" s="4">
        <v>1991</v>
      </c>
      <c r="C41" s="4">
        <v>1</v>
      </c>
      <c r="D41" s="4">
        <v>999000</v>
      </c>
      <c r="E41" s="4">
        <v>1981</v>
      </c>
      <c r="F41" s="4">
        <v>1</v>
      </c>
      <c r="G41" s="90">
        <v>899000</v>
      </c>
      <c r="H41" s="4">
        <v>1969</v>
      </c>
      <c r="I41" s="4">
        <v>1</v>
      </c>
      <c r="J41" s="4">
        <v>1149000</v>
      </c>
      <c r="K41">
        <v>1959</v>
      </c>
      <c r="L41">
        <v>1</v>
      </c>
      <c r="M41">
        <v>1353000</v>
      </c>
      <c r="N41">
        <v>1950</v>
      </c>
      <c r="O41">
        <v>1</v>
      </c>
      <c r="P41">
        <v>1190000</v>
      </c>
      <c r="Q41">
        <v>1944</v>
      </c>
      <c r="R41">
        <v>4</v>
      </c>
      <c r="S41">
        <v>699000</v>
      </c>
      <c r="AC41" s="136"/>
      <c r="AD41" s="136"/>
      <c r="AE41" s="136"/>
      <c r="AF41" s="136"/>
      <c r="AG41" s="136"/>
      <c r="AH41" s="136"/>
      <c r="AI41" s="136"/>
      <c r="AJ41" s="136"/>
    </row>
    <row r="42" spans="2:36">
      <c r="B42" s="4">
        <v>1991</v>
      </c>
      <c r="C42" s="4">
        <v>1</v>
      </c>
      <c r="D42" s="4">
        <v>949000</v>
      </c>
      <c r="E42" s="4">
        <v>1981</v>
      </c>
      <c r="F42" s="4">
        <v>1</v>
      </c>
      <c r="G42" s="90">
        <v>890000</v>
      </c>
      <c r="H42" s="4">
        <v>1969</v>
      </c>
      <c r="I42" s="4">
        <v>1</v>
      </c>
      <c r="J42" s="4">
        <v>1149000</v>
      </c>
      <c r="K42">
        <v>1959</v>
      </c>
      <c r="L42">
        <v>2</v>
      </c>
      <c r="M42">
        <v>1329000</v>
      </c>
      <c r="N42">
        <v>1950</v>
      </c>
      <c r="O42">
        <v>1</v>
      </c>
      <c r="P42">
        <v>1190000</v>
      </c>
      <c r="Q42">
        <v>1944</v>
      </c>
      <c r="R42">
        <v>4</v>
      </c>
      <c r="S42">
        <v>699000</v>
      </c>
      <c r="AC42" s="136"/>
      <c r="AD42" s="136"/>
      <c r="AE42" s="136"/>
      <c r="AF42" s="136"/>
      <c r="AG42" s="136"/>
      <c r="AH42" s="136"/>
      <c r="AI42" s="136"/>
      <c r="AJ42" s="136"/>
    </row>
    <row r="43" spans="2:36">
      <c r="B43" s="4">
        <v>1991</v>
      </c>
      <c r="C43" s="4">
        <v>1</v>
      </c>
      <c r="D43" s="4">
        <v>949000</v>
      </c>
      <c r="E43" s="4">
        <v>1981</v>
      </c>
      <c r="F43" s="4">
        <v>3</v>
      </c>
      <c r="G43" s="90">
        <v>890000</v>
      </c>
      <c r="H43" s="4">
        <v>1970</v>
      </c>
      <c r="I43" s="4">
        <v>5</v>
      </c>
      <c r="J43" s="4">
        <v>1099000</v>
      </c>
      <c r="K43">
        <v>1959</v>
      </c>
      <c r="L43">
        <v>1</v>
      </c>
      <c r="M43">
        <v>1300000</v>
      </c>
      <c r="N43">
        <v>1950</v>
      </c>
      <c r="O43">
        <v>1</v>
      </c>
      <c r="P43">
        <v>1190000</v>
      </c>
      <c r="Q43">
        <v>1944</v>
      </c>
      <c r="R43">
        <v>5</v>
      </c>
      <c r="S43">
        <v>699000</v>
      </c>
      <c r="AC43" s="136"/>
      <c r="AD43" s="136"/>
      <c r="AE43" s="136"/>
      <c r="AF43" s="136"/>
      <c r="AG43" s="136"/>
      <c r="AH43" s="136"/>
      <c r="AI43" s="136"/>
      <c r="AJ43" s="136"/>
    </row>
    <row r="44" spans="2:36">
      <c r="B44" s="4">
        <v>1991</v>
      </c>
      <c r="C44" s="4">
        <v>1</v>
      </c>
      <c r="D44" s="4">
        <v>900000</v>
      </c>
      <c r="E44" s="4">
        <v>1982</v>
      </c>
      <c r="F44" s="4">
        <v>3</v>
      </c>
      <c r="G44" s="90">
        <v>890000</v>
      </c>
      <c r="H44" s="4">
        <v>1970</v>
      </c>
      <c r="I44" s="4">
        <v>2</v>
      </c>
      <c r="J44" s="4">
        <v>1099000</v>
      </c>
      <c r="K44">
        <v>1959</v>
      </c>
      <c r="L44">
        <v>3</v>
      </c>
      <c r="M44">
        <v>1299000</v>
      </c>
      <c r="N44">
        <v>1950</v>
      </c>
      <c r="O44">
        <v>1</v>
      </c>
      <c r="P44">
        <v>1190000</v>
      </c>
      <c r="Q44">
        <v>1944</v>
      </c>
      <c r="R44">
        <v>5</v>
      </c>
      <c r="S44">
        <v>699000</v>
      </c>
    </row>
    <row r="45" spans="2:36">
      <c r="B45" s="4">
        <v>1991</v>
      </c>
      <c r="C45" s="4">
        <v>1</v>
      </c>
      <c r="D45" s="4">
        <v>900000</v>
      </c>
      <c r="E45" s="4">
        <v>1982</v>
      </c>
      <c r="F45" s="4">
        <v>1</v>
      </c>
      <c r="G45" s="90">
        <v>849000</v>
      </c>
      <c r="H45" s="4">
        <v>1970</v>
      </c>
      <c r="I45" s="4">
        <v>1</v>
      </c>
      <c r="J45" s="4">
        <v>1099000</v>
      </c>
      <c r="K45">
        <v>1959</v>
      </c>
      <c r="L45">
        <v>2</v>
      </c>
      <c r="M45">
        <v>1299000</v>
      </c>
      <c r="N45">
        <v>1950</v>
      </c>
      <c r="O45">
        <v>4</v>
      </c>
      <c r="P45">
        <v>1149000</v>
      </c>
      <c r="Q45">
        <v>1944</v>
      </c>
      <c r="R45">
        <v>10</v>
      </c>
      <c r="S45">
        <v>699000</v>
      </c>
    </row>
    <row r="46" spans="2:36">
      <c r="B46" s="4">
        <v>1991</v>
      </c>
      <c r="C46" s="4">
        <v>1</v>
      </c>
      <c r="D46" s="4">
        <v>899000</v>
      </c>
      <c r="E46" s="4">
        <v>1982</v>
      </c>
      <c r="F46" s="4">
        <v>1</v>
      </c>
      <c r="G46" s="90">
        <v>849000</v>
      </c>
      <c r="H46" s="4">
        <v>1970</v>
      </c>
      <c r="I46" s="4">
        <v>1</v>
      </c>
      <c r="J46" s="4">
        <v>1070000</v>
      </c>
      <c r="K46">
        <v>1959</v>
      </c>
      <c r="L46">
        <v>1</v>
      </c>
      <c r="M46">
        <v>1299000</v>
      </c>
      <c r="N46">
        <v>1950</v>
      </c>
      <c r="O46">
        <v>1</v>
      </c>
      <c r="P46">
        <v>1149000</v>
      </c>
      <c r="Q46">
        <v>1944</v>
      </c>
      <c r="R46">
        <v>19</v>
      </c>
      <c r="S46">
        <v>699000</v>
      </c>
    </row>
    <row r="47" spans="2:36">
      <c r="B47" s="4">
        <v>1991</v>
      </c>
      <c r="C47" s="4">
        <v>2</v>
      </c>
      <c r="D47" s="4">
        <v>899000</v>
      </c>
      <c r="E47" s="4">
        <v>1982</v>
      </c>
      <c r="F47" s="4">
        <v>1</v>
      </c>
      <c r="G47" s="90">
        <v>799000</v>
      </c>
      <c r="H47" s="4">
        <v>1970</v>
      </c>
      <c r="I47" s="4">
        <v>1</v>
      </c>
      <c r="J47" s="4">
        <v>1070000</v>
      </c>
      <c r="K47">
        <v>1959</v>
      </c>
      <c r="L47">
        <v>1</v>
      </c>
      <c r="M47">
        <v>1299000</v>
      </c>
      <c r="N47">
        <v>1950</v>
      </c>
      <c r="O47">
        <v>1</v>
      </c>
      <c r="P47">
        <v>1149000</v>
      </c>
      <c r="Q47">
        <v>1944</v>
      </c>
      <c r="R47">
        <v>1</v>
      </c>
      <c r="S47">
        <v>649000</v>
      </c>
    </row>
    <row r="48" spans="2:36">
      <c r="B48" s="4">
        <v>1991</v>
      </c>
      <c r="C48" s="4">
        <v>2</v>
      </c>
      <c r="D48" s="4">
        <v>899000</v>
      </c>
      <c r="E48" s="4">
        <v>1982</v>
      </c>
      <c r="F48" s="4">
        <v>1</v>
      </c>
      <c r="G48" s="90">
        <v>799000</v>
      </c>
      <c r="H48" s="4">
        <v>1970</v>
      </c>
      <c r="I48" s="4">
        <v>1</v>
      </c>
      <c r="J48" s="4">
        <v>1070000</v>
      </c>
      <c r="K48">
        <v>1959</v>
      </c>
      <c r="L48">
        <v>1</v>
      </c>
      <c r="M48">
        <v>1299000</v>
      </c>
      <c r="N48">
        <v>1950</v>
      </c>
      <c r="O48">
        <v>1</v>
      </c>
      <c r="P48">
        <v>1149000</v>
      </c>
      <c r="Q48">
        <v>1944</v>
      </c>
      <c r="R48">
        <v>1</v>
      </c>
      <c r="S48">
        <v>640000</v>
      </c>
    </row>
    <row r="49" spans="2:19">
      <c r="B49" s="4">
        <v>1991</v>
      </c>
      <c r="C49" s="4">
        <v>1</v>
      </c>
      <c r="D49" s="4">
        <v>899000</v>
      </c>
      <c r="E49" s="4">
        <v>1982</v>
      </c>
      <c r="F49" s="4">
        <v>1</v>
      </c>
      <c r="G49" s="90">
        <v>799000</v>
      </c>
      <c r="H49" s="4">
        <v>1970</v>
      </c>
      <c r="I49" s="4">
        <v>1</v>
      </c>
      <c r="J49" s="4">
        <v>1070000</v>
      </c>
      <c r="K49">
        <v>1959</v>
      </c>
      <c r="L49">
        <v>1</v>
      </c>
      <c r="M49">
        <v>1299000</v>
      </c>
      <c r="N49">
        <v>1950</v>
      </c>
      <c r="O49">
        <v>1</v>
      </c>
      <c r="P49">
        <v>1149000</v>
      </c>
      <c r="Q49">
        <v>1945</v>
      </c>
      <c r="R49">
        <v>1</v>
      </c>
      <c r="S49">
        <v>640000</v>
      </c>
    </row>
    <row r="50" spans="2:19">
      <c r="B50" s="4">
        <v>1991</v>
      </c>
      <c r="C50" s="4">
        <v>1</v>
      </c>
      <c r="D50" s="4">
        <v>890000</v>
      </c>
      <c r="E50" s="4">
        <v>1982</v>
      </c>
      <c r="F50" s="4">
        <v>2</v>
      </c>
      <c r="G50" s="90">
        <v>799000</v>
      </c>
      <c r="H50" s="4">
        <v>1970</v>
      </c>
      <c r="I50" s="4">
        <v>1</v>
      </c>
      <c r="J50" s="4">
        <v>1059000</v>
      </c>
      <c r="K50">
        <v>1959</v>
      </c>
      <c r="L50">
        <v>3</v>
      </c>
      <c r="M50">
        <v>1269000</v>
      </c>
      <c r="N50">
        <v>1950</v>
      </c>
      <c r="O50">
        <v>1</v>
      </c>
      <c r="P50">
        <v>1149000</v>
      </c>
      <c r="Q50">
        <v>1945</v>
      </c>
      <c r="R50">
        <v>1</v>
      </c>
      <c r="S50">
        <v>640000</v>
      </c>
    </row>
    <row r="51" spans="2:19">
      <c r="B51" s="4">
        <v>1992</v>
      </c>
      <c r="C51" s="4">
        <v>1</v>
      </c>
      <c r="D51" s="4">
        <v>849000</v>
      </c>
      <c r="E51" s="4">
        <v>1982</v>
      </c>
      <c r="F51" s="4">
        <v>2</v>
      </c>
      <c r="G51" s="90">
        <v>799000</v>
      </c>
      <c r="H51" s="4">
        <v>1970</v>
      </c>
      <c r="I51" s="4">
        <v>1</v>
      </c>
      <c r="J51" s="4">
        <v>1059000</v>
      </c>
      <c r="K51">
        <v>1959</v>
      </c>
      <c r="L51">
        <v>3</v>
      </c>
      <c r="M51">
        <v>1269000</v>
      </c>
      <c r="N51">
        <v>1950</v>
      </c>
      <c r="O51">
        <v>1</v>
      </c>
      <c r="P51">
        <v>1149000</v>
      </c>
      <c r="Q51">
        <v>1945</v>
      </c>
      <c r="R51">
        <v>1</v>
      </c>
      <c r="S51">
        <v>599000</v>
      </c>
    </row>
    <row r="52" spans="2:19">
      <c r="B52" s="4">
        <v>1992</v>
      </c>
      <c r="C52" s="4">
        <v>1</v>
      </c>
      <c r="D52" s="4">
        <v>849000</v>
      </c>
      <c r="E52" s="4">
        <v>1982</v>
      </c>
      <c r="F52" s="4">
        <v>2</v>
      </c>
      <c r="G52" s="90">
        <v>799000</v>
      </c>
      <c r="H52" s="4">
        <v>1970</v>
      </c>
      <c r="I52" s="4">
        <v>3</v>
      </c>
      <c r="J52" s="4">
        <v>999000</v>
      </c>
      <c r="K52">
        <v>1959</v>
      </c>
      <c r="L52">
        <v>3</v>
      </c>
      <c r="M52">
        <v>1269000</v>
      </c>
      <c r="N52">
        <v>1950</v>
      </c>
      <c r="O52">
        <v>6</v>
      </c>
      <c r="P52">
        <v>1099000</v>
      </c>
      <c r="Q52">
        <v>1945</v>
      </c>
      <c r="R52">
        <v>1</v>
      </c>
      <c r="S52">
        <v>599000</v>
      </c>
    </row>
    <row r="53" spans="2:19">
      <c r="B53" s="4">
        <v>1992</v>
      </c>
      <c r="C53" s="4">
        <v>1</v>
      </c>
      <c r="D53" s="4">
        <v>849000</v>
      </c>
      <c r="E53" s="4">
        <v>1982</v>
      </c>
      <c r="F53" s="4">
        <v>1</v>
      </c>
      <c r="G53" s="90">
        <v>749000</v>
      </c>
      <c r="H53" s="4">
        <v>1970</v>
      </c>
      <c r="I53" s="4">
        <v>1</v>
      </c>
      <c r="J53" s="4">
        <v>999000</v>
      </c>
      <c r="K53">
        <v>1959</v>
      </c>
      <c r="L53">
        <v>3</v>
      </c>
      <c r="M53">
        <v>1269000</v>
      </c>
      <c r="N53">
        <v>1950</v>
      </c>
      <c r="O53">
        <v>4</v>
      </c>
      <c r="P53">
        <v>1099000</v>
      </c>
      <c r="Q53">
        <v>1945</v>
      </c>
      <c r="R53">
        <v>1</v>
      </c>
      <c r="S53">
        <v>599000</v>
      </c>
    </row>
    <row r="54" spans="2:19">
      <c r="B54" s="4">
        <v>1992</v>
      </c>
      <c r="C54" s="4">
        <v>2</v>
      </c>
      <c r="D54" s="4">
        <v>799000</v>
      </c>
      <c r="E54" s="4">
        <v>1982</v>
      </c>
      <c r="F54" s="4">
        <v>3</v>
      </c>
      <c r="G54" s="90">
        <v>749000</v>
      </c>
      <c r="H54" s="4">
        <v>1970</v>
      </c>
      <c r="I54" s="4">
        <v>1</v>
      </c>
      <c r="J54" s="4">
        <v>999000</v>
      </c>
      <c r="K54">
        <v>1959</v>
      </c>
      <c r="L54">
        <v>2</v>
      </c>
      <c r="M54">
        <v>1269000</v>
      </c>
      <c r="N54">
        <v>1950</v>
      </c>
      <c r="O54">
        <v>4</v>
      </c>
      <c r="P54">
        <v>1099000</v>
      </c>
      <c r="Q54">
        <v>1945</v>
      </c>
      <c r="R54">
        <v>1</v>
      </c>
      <c r="S54">
        <v>599000</v>
      </c>
    </row>
    <row r="55" spans="2:19">
      <c r="B55" s="4">
        <v>1992</v>
      </c>
      <c r="C55" s="4">
        <v>2</v>
      </c>
      <c r="D55" s="4">
        <v>799000</v>
      </c>
      <c r="E55" s="4">
        <v>1982</v>
      </c>
      <c r="F55" s="4">
        <v>1</v>
      </c>
      <c r="G55" s="90">
        <v>729000</v>
      </c>
      <c r="H55" s="4">
        <v>1970</v>
      </c>
      <c r="I55" s="4">
        <v>1</v>
      </c>
      <c r="J55" s="4">
        <v>995000</v>
      </c>
      <c r="K55">
        <v>1959</v>
      </c>
      <c r="L55">
        <v>2</v>
      </c>
      <c r="M55">
        <v>1269000</v>
      </c>
      <c r="N55">
        <v>1950</v>
      </c>
      <c r="O55">
        <v>3</v>
      </c>
      <c r="P55">
        <v>1099000</v>
      </c>
      <c r="Q55">
        <v>1945</v>
      </c>
      <c r="R55">
        <v>4</v>
      </c>
      <c r="S55">
        <v>599000</v>
      </c>
    </row>
    <row r="56" spans="2:19">
      <c r="B56" s="4">
        <v>1992</v>
      </c>
      <c r="C56" s="4">
        <v>1</v>
      </c>
      <c r="D56" s="4">
        <v>799000</v>
      </c>
      <c r="E56" s="4">
        <v>1982</v>
      </c>
      <c r="F56" s="4">
        <v>1</v>
      </c>
      <c r="G56" s="90">
        <v>729000</v>
      </c>
      <c r="H56" s="4">
        <v>1970</v>
      </c>
      <c r="I56" s="4">
        <v>4</v>
      </c>
      <c r="J56" s="4">
        <v>949000</v>
      </c>
      <c r="K56">
        <v>1959</v>
      </c>
      <c r="L56">
        <v>1</v>
      </c>
      <c r="M56">
        <v>1269000</v>
      </c>
      <c r="N56">
        <v>1951</v>
      </c>
      <c r="O56">
        <v>3</v>
      </c>
      <c r="P56">
        <v>1099000</v>
      </c>
      <c r="Q56">
        <v>1945</v>
      </c>
      <c r="R56">
        <v>1</v>
      </c>
      <c r="S56">
        <v>550000</v>
      </c>
    </row>
    <row r="57" spans="2:19">
      <c r="B57" s="4">
        <v>1992</v>
      </c>
      <c r="C57" s="4">
        <v>1</v>
      </c>
      <c r="D57" s="4">
        <v>799000</v>
      </c>
      <c r="E57" s="4">
        <v>1982</v>
      </c>
      <c r="F57" s="4">
        <v>1</v>
      </c>
      <c r="G57" s="90">
        <v>699000</v>
      </c>
      <c r="H57" s="4">
        <v>1970</v>
      </c>
      <c r="I57" s="4">
        <v>2</v>
      </c>
      <c r="J57" s="4">
        <v>949000</v>
      </c>
      <c r="K57">
        <v>1960</v>
      </c>
      <c r="L57">
        <v>4</v>
      </c>
      <c r="M57">
        <v>1249000</v>
      </c>
      <c r="N57">
        <v>1951</v>
      </c>
      <c r="O57">
        <v>2</v>
      </c>
      <c r="P57">
        <v>1099000</v>
      </c>
      <c r="Q57">
        <v>1945</v>
      </c>
      <c r="R57">
        <v>1</v>
      </c>
      <c r="S57">
        <v>545000</v>
      </c>
    </row>
    <row r="58" spans="2:19">
      <c r="B58" s="4">
        <v>1992</v>
      </c>
      <c r="C58" s="4">
        <v>1</v>
      </c>
      <c r="D58" s="4">
        <v>749000</v>
      </c>
      <c r="E58" s="4">
        <v>1983</v>
      </c>
      <c r="F58" s="4">
        <v>1</v>
      </c>
      <c r="G58" s="90">
        <v>699000</v>
      </c>
      <c r="H58" s="4">
        <v>1970</v>
      </c>
      <c r="I58" s="4">
        <v>1</v>
      </c>
      <c r="J58" s="4">
        <v>918000</v>
      </c>
      <c r="K58">
        <v>1960</v>
      </c>
      <c r="L58">
        <v>3</v>
      </c>
      <c r="M58">
        <v>1249000</v>
      </c>
      <c r="N58">
        <v>1951</v>
      </c>
      <c r="O58">
        <v>1</v>
      </c>
      <c r="P58">
        <v>1099000</v>
      </c>
      <c r="Q58">
        <v>1945</v>
      </c>
      <c r="R58">
        <v>1</v>
      </c>
      <c r="S58">
        <v>529000</v>
      </c>
    </row>
    <row r="59" spans="2:19">
      <c r="B59" s="4">
        <v>1992</v>
      </c>
      <c r="C59" s="4">
        <v>1</v>
      </c>
      <c r="D59" s="4">
        <v>749000</v>
      </c>
      <c r="E59" s="4">
        <v>1983</v>
      </c>
      <c r="F59" s="4">
        <v>1</v>
      </c>
      <c r="G59" s="90">
        <v>699000</v>
      </c>
      <c r="H59" s="4">
        <v>1970</v>
      </c>
      <c r="I59" s="4">
        <v>1</v>
      </c>
      <c r="J59" s="4">
        <v>918000</v>
      </c>
      <c r="K59">
        <v>1960</v>
      </c>
      <c r="L59">
        <v>2</v>
      </c>
      <c r="M59">
        <v>1249000</v>
      </c>
      <c r="N59">
        <v>1951</v>
      </c>
      <c r="O59">
        <v>1</v>
      </c>
      <c r="P59">
        <v>1070000</v>
      </c>
      <c r="Q59">
        <v>1945</v>
      </c>
      <c r="R59">
        <v>1</v>
      </c>
      <c r="S59">
        <v>499000</v>
      </c>
    </row>
    <row r="60" spans="2:19">
      <c r="B60" s="4">
        <v>1992</v>
      </c>
      <c r="C60" s="4">
        <v>1</v>
      </c>
      <c r="D60" s="4">
        <v>749000</v>
      </c>
      <c r="E60" s="4">
        <v>1983</v>
      </c>
      <c r="F60" s="4">
        <v>2</v>
      </c>
      <c r="G60" s="90">
        <v>699000</v>
      </c>
      <c r="H60" s="4">
        <v>1970</v>
      </c>
      <c r="I60" s="4">
        <v>1</v>
      </c>
      <c r="J60" s="4">
        <v>900000</v>
      </c>
      <c r="K60">
        <v>1960</v>
      </c>
      <c r="L60">
        <v>1</v>
      </c>
      <c r="M60">
        <v>1249000</v>
      </c>
      <c r="N60">
        <v>1951</v>
      </c>
      <c r="O60">
        <v>1</v>
      </c>
      <c r="P60">
        <v>1070000</v>
      </c>
      <c r="Q60">
        <v>1945</v>
      </c>
      <c r="R60">
        <v>1</v>
      </c>
      <c r="S60">
        <v>499000</v>
      </c>
    </row>
    <row r="61" spans="2:19">
      <c r="B61" s="4">
        <v>1992</v>
      </c>
      <c r="C61" s="4">
        <v>1</v>
      </c>
      <c r="D61" s="4">
        <v>729000</v>
      </c>
      <c r="E61" s="4">
        <v>1983</v>
      </c>
      <c r="F61" s="4">
        <v>2</v>
      </c>
      <c r="G61" s="90">
        <v>699000</v>
      </c>
      <c r="H61" s="4">
        <v>1970</v>
      </c>
      <c r="I61" s="4">
        <v>6</v>
      </c>
      <c r="J61" s="4">
        <v>899000</v>
      </c>
      <c r="K61">
        <v>1960</v>
      </c>
      <c r="L61">
        <v>1</v>
      </c>
      <c r="M61">
        <v>1249000</v>
      </c>
      <c r="N61">
        <v>1951</v>
      </c>
      <c r="O61">
        <v>1</v>
      </c>
      <c r="P61">
        <v>1070000</v>
      </c>
      <c r="Q61">
        <v>1945</v>
      </c>
      <c r="R61">
        <v>3</v>
      </c>
      <c r="S61">
        <v>499000</v>
      </c>
    </row>
    <row r="62" spans="2:19">
      <c r="B62" s="4">
        <v>1992</v>
      </c>
      <c r="C62" s="4">
        <v>1</v>
      </c>
      <c r="D62" s="4">
        <v>729000</v>
      </c>
      <c r="E62" s="4">
        <v>1983</v>
      </c>
      <c r="F62" s="4">
        <v>3</v>
      </c>
      <c r="G62" s="90">
        <v>699000</v>
      </c>
      <c r="H62" s="4">
        <v>1970</v>
      </c>
      <c r="I62" s="4">
        <v>4</v>
      </c>
      <c r="J62" s="4">
        <v>899000</v>
      </c>
      <c r="K62">
        <v>1960</v>
      </c>
      <c r="L62">
        <v>2</v>
      </c>
      <c r="M62">
        <v>1209000</v>
      </c>
      <c r="N62">
        <v>1951</v>
      </c>
      <c r="O62">
        <v>1</v>
      </c>
      <c r="P62">
        <v>1069000</v>
      </c>
      <c r="Q62">
        <v>1946</v>
      </c>
      <c r="R62">
        <v>5</v>
      </c>
      <c r="S62">
        <v>499000</v>
      </c>
    </row>
    <row r="63" spans="2:19">
      <c r="B63" s="4">
        <v>1992</v>
      </c>
      <c r="C63" s="4">
        <v>2</v>
      </c>
      <c r="D63" s="4">
        <v>699000</v>
      </c>
      <c r="E63" s="4">
        <v>1983</v>
      </c>
      <c r="F63" s="4">
        <v>3</v>
      </c>
      <c r="G63" s="90">
        <v>699000</v>
      </c>
      <c r="H63" s="4">
        <v>1970</v>
      </c>
      <c r="I63" s="4">
        <v>3</v>
      </c>
      <c r="J63" s="4">
        <v>899000</v>
      </c>
      <c r="K63">
        <v>1960</v>
      </c>
      <c r="L63">
        <v>1</v>
      </c>
      <c r="M63">
        <v>1209000</v>
      </c>
      <c r="N63">
        <v>1951</v>
      </c>
      <c r="O63">
        <v>1</v>
      </c>
      <c r="P63">
        <v>1069000</v>
      </c>
      <c r="Q63">
        <v>1946</v>
      </c>
      <c r="R63">
        <v>11</v>
      </c>
      <c r="S63">
        <v>499000</v>
      </c>
    </row>
    <row r="64" spans="2:19">
      <c r="B64" s="4">
        <v>1992</v>
      </c>
      <c r="C64" s="4">
        <v>2</v>
      </c>
      <c r="D64" s="4">
        <v>699000</v>
      </c>
      <c r="E64" s="4">
        <v>1983</v>
      </c>
      <c r="F64" s="4">
        <v>4</v>
      </c>
      <c r="G64" s="90">
        <v>699000</v>
      </c>
      <c r="H64" s="4">
        <v>1970</v>
      </c>
      <c r="I64" s="4">
        <v>3</v>
      </c>
      <c r="J64" s="4">
        <v>899000</v>
      </c>
      <c r="K64">
        <v>1960</v>
      </c>
      <c r="L64">
        <v>1</v>
      </c>
      <c r="M64">
        <v>1209000</v>
      </c>
      <c r="N64">
        <v>1951</v>
      </c>
      <c r="O64">
        <v>2</v>
      </c>
      <c r="P64">
        <v>1049000</v>
      </c>
      <c r="Q64">
        <v>1946</v>
      </c>
      <c r="R64">
        <v>11</v>
      </c>
      <c r="S64">
        <v>499000</v>
      </c>
    </row>
    <row r="65" spans="2:19">
      <c r="B65" s="4">
        <v>1992</v>
      </c>
      <c r="C65" s="4">
        <v>1</v>
      </c>
      <c r="D65" s="4">
        <v>699000</v>
      </c>
      <c r="E65" s="4">
        <v>1983</v>
      </c>
      <c r="F65" s="4">
        <v>4</v>
      </c>
      <c r="G65" s="90">
        <v>699000</v>
      </c>
      <c r="H65" s="4">
        <v>1970</v>
      </c>
      <c r="I65" s="4">
        <v>2</v>
      </c>
      <c r="J65" s="4">
        <v>899000</v>
      </c>
      <c r="K65">
        <v>1960</v>
      </c>
      <c r="L65">
        <v>1</v>
      </c>
      <c r="M65">
        <v>1209000</v>
      </c>
      <c r="N65">
        <v>1951</v>
      </c>
      <c r="O65">
        <v>1</v>
      </c>
      <c r="P65">
        <v>1049000</v>
      </c>
      <c r="Q65">
        <v>1946</v>
      </c>
      <c r="R65">
        <v>1</v>
      </c>
      <c r="S65">
        <v>488000</v>
      </c>
    </row>
    <row r="66" spans="2:19">
      <c r="B66" s="4">
        <v>1992</v>
      </c>
      <c r="C66" s="4">
        <v>3</v>
      </c>
      <c r="D66" s="4">
        <v>699000</v>
      </c>
      <c r="E66" s="4">
        <v>1983</v>
      </c>
      <c r="F66" s="4">
        <v>1</v>
      </c>
      <c r="G66" s="90">
        <v>649000</v>
      </c>
      <c r="H66" s="4">
        <v>1970</v>
      </c>
      <c r="I66" s="4">
        <v>2</v>
      </c>
      <c r="J66" s="4">
        <v>899000</v>
      </c>
      <c r="K66">
        <v>1960</v>
      </c>
      <c r="L66">
        <v>4</v>
      </c>
      <c r="M66">
        <v>1199000</v>
      </c>
      <c r="N66">
        <v>1951</v>
      </c>
      <c r="O66">
        <v>1</v>
      </c>
      <c r="P66">
        <v>1049000</v>
      </c>
      <c r="Q66">
        <v>1946</v>
      </c>
      <c r="R66">
        <v>1</v>
      </c>
      <c r="S66">
        <v>488000</v>
      </c>
    </row>
    <row r="67" spans="2:19">
      <c r="B67" s="4">
        <v>1992</v>
      </c>
      <c r="C67" s="4">
        <v>1</v>
      </c>
      <c r="D67" s="4">
        <v>690000</v>
      </c>
      <c r="E67" s="4">
        <v>1983</v>
      </c>
      <c r="F67" s="4">
        <v>1</v>
      </c>
      <c r="G67" s="90">
        <v>649000</v>
      </c>
      <c r="H67" s="4">
        <v>1970</v>
      </c>
      <c r="I67" s="4">
        <v>1</v>
      </c>
      <c r="J67" s="4">
        <v>899000</v>
      </c>
      <c r="K67">
        <v>1960</v>
      </c>
      <c r="L67">
        <v>3</v>
      </c>
      <c r="M67">
        <v>1199000</v>
      </c>
      <c r="N67">
        <v>1951</v>
      </c>
      <c r="O67">
        <v>1</v>
      </c>
      <c r="P67">
        <v>1030000</v>
      </c>
      <c r="Q67">
        <v>1946</v>
      </c>
      <c r="R67">
        <v>1</v>
      </c>
      <c r="S67">
        <v>469000</v>
      </c>
    </row>
    <row r="68" spans="2:19">
      <c r="B68" s="4">
        <v>1992</v>
      </c>
      <c r="C68" s="4">
        <v>1</v>
      </c>
      <c r="D68" s="4">
        <v>649000</v>
      </c>
      <c r="E68" s="4">
        <v>1983</v>
      </c>
      <c r="F68" s="4">
        <v>1</v>
      </c>
      <c r="G68" s="90">
        <v>649000</v>
      </c>
      <c r="H68" s="4">
        <v>1970</v>
      </c>
      <c r="I68" s="4">
        <v>1</v>
      </c>
      <c r="J68" s="4">
        <v>899000</v>
      </c>
      <c r="K68">
        <v>1960</v>
      </c>
      <c r="L68">
        <v>1</v>
      </c>
      <c r="M68">
        <v>1199000</v>
      </c>
      <c r="N68">
        <v>1951</v>
      </c>
      <c r="O68">
        <v>1</v>
      </c>
      <c r="P68">
        <v>1029000</v>
      </c>
      <c r="Q68">
        <v>1946</v>
      </c>
      <c r="R68">
        <v>1</v>
      </c>
      <c r="S68">
        <v>469000</v>
      </c>
    </row>
    <row r="69" spans="2:19">
      <c r="B69" s="4">
        <v>1993</v>
      </c>
      <c r="C69" s="4">
        <v>1</v>
      </c>
      <c r="D69" s="4">
        <v>649000</v>
      </c>
      <c r="E69" s="4">
        <v>1983</v>
      </c>
      <c r="F69" s="4">
        <v>1</v>
      </c>
      <c r="G69" s="90">
        <v>649000</v>
      </c>
      <c r="H69" s="4">
        <v>1970</v>
      </c>
      <c r="I69" s="4">
        <v>4</v>
      </c>
      <c r="J69" s="4">
        <v>890000</v>
      </c>
      <c r="K69">
        <v>1960</v>
      </c>
      <c r="L69">
        <v>1</v>
      </c>
      <c r="M69">
        <v>1199000</v>
      </c>
      <c r="N69">
        <v>1951</v>
      </c>
      <c r="O69">
        <v>1</v>
      </c>
      <c r="P69">
        <v>1019000</v>
      </c>
      <c r="Q69">
        <v>1946</v>
      </c>
      <c r="R69">
        <v>2</v>
      </c>
      <c r="S69">
        <v>469000</v>
      </c>
    </row>
    <row r="70" spans="2:19">
      <c r="B70" s="4">
        <v>1993</v>
      </c>
      <c r="C70" s="4">
        <v>1</v>
      </c>
      <c r="D70" s="4">
        <v>649000</v>
      </c>
      <c r="E70" s="4">
        <v>1983</v>
      </c>
      <c r="F70" s="4">
        <v>1</v>
      </c>
      <c r="G70" s="90">
        <v>640000</v>
      </c>
      <c r="H70" s="4">
        <v>1970</v>
      </c>
      <c r="I70" s="4">
        <v>2</v>
      </c>
      <c r="J70" s="4">
        <v>890000</v>
      </c>
      <c r="K70">
        <v>1960</v>
      </c>
      <c r="L70">
        <v>1</v>
      </c>
      <c r="M70">
        <v>1199000</v>
      </c>
      <c r="N70">
        <v>1951</v>
      </c>
      <c r="O70">
        <v>4</v>
      </c>
      <c r="P70">
        <v>999000</v>
      </c>
      <c r="Q70">
        <v>1946</v>
      </c>
      <c r="R70">
        <v>1</v>
      </c>
      <c r="S70">
        <v>449000</v>
      </c>
    </row>
    <row r="71" spans="2:19">
      <c r="B71" s="4">
        <v>1993</v>
      </c>
      <c r="C71" s="4">
        <v>2</v>
      </c>
      <c r="D71" s="4">
        <v>649000</v>
      </c>
      <c r="E71" s="4">
        <v>1983</v>
      </c>
      <c r="F71" s="4">
        <v>1</v>
      </c>
      <c r="G71" s="90">
        <v>640000</v>
      </c>
      <c r="H71" s="4">
        <v>1970</v>
      </c>
      <c r="I71" s="4">
        <v>1</v>
      </c>
      <c r="J71" s="4">
        <v>890000</v>
      </c>
      <c r="K71">
        <v>1960</v>
      </c>
      <c r="L71">
        <v>1</v>
      </c>
      <c r="M71">
        <v>1199000</v>
      </c>
      <c r="N71">
        <v>1951</v>
      </c>
      <c r="O71">
        <v>3</v>
      </c>
      <c r="P71">
        <v>999000</v>
      </c>
      <c r="Q71">
        <v>1946</v>
      </c>
      <c r="R71">
        <v>1</v>
      </c>
      <c r="S71">
        <v>449000</v>
      </c>
    </row>
    <row r="72" spans="2:19">
      <c r="B72" s="4">
        <v>1993</v>
      </c>
      <c r="C72" s="4">
        <v>1</v>
      </c>
      <c r="D72" s="4">
        <v>649000</v>
      </c>
      <c r="E72" s="4">
        <v>1983</v>
      </c>
      <c r="F72" s="4">
        <v>1</v>
      </c>
      <c r="G72" s="90">
        <v>599000</v>
      </c>
      <c r="H72" s="4">
        <v>1970</v>
      </c>
      <c r="I72" s="4">
        <v>1</v>
      </c>
      <c r="J72" s="4">
        <v>890000</v>
      </c>
      <c r="K72">
        <v>1960</v>
      </c>
      <c r="L72">
        <v>8</v>
      </c>
      <c r="M72">
        <v>1190000</v>
      </c>
      <c r="N72">
        <v>1951</v>
      </c>
      <c r="O72">
        <v>3</v>
      </c>
      <c r="P72">
        <v>999000</v>
      </c>
      <c r="Q72">
        <v>1946</v>
      </c>
      <c r="R72">
        <v>3</v>
      </c>
      <c r="S72">
        <v>449000</v>
      </c>
    </row>
    <row r="73" spans="2:19">
      <c r="B73" s="4">
        <v>1993</v>
      </c>
      <c r="C73" s="4">
        <v>3</v>
      </c>
      <c r="D73" s="4">
        <v>599000</v>
      </c>
      <c r="E73" s="4">
        <v>1984</v>
      </c>
      <c r="F73" s="4">
        <v>1</v>
      </c>
      <c r="G73" s="90">
        <v>599000</v>
      </c>
      <c r="H73" s="4">
        <v>1970</v>
      </c>
      <c r="I73" s="4">
        <v>1</v>
      </c>
      <c r="J73" s="4">
        <v>890000</v>
      </c>
      <c r="K73">
        <v>1960</v>
      </c>
      <c r="L73">
        <v>6</v>
      </c>
      <c r="M73">
        <v>1190000</v>
      </c>
      <c r="N73">
        <v>1951</v>
      </c>
      <c r="O73">
        <v>2</v>
      </c>
      <c r="P73">
        <v>999000</v>
      </c>
      <c r="Q73">
        <v>1946</v>
      </c>
      <c r="R73">
        <v>4</v>
      </c>
      <c r="S73">
        <v>449000</v>
      </c>
    </row>
    <row r="74" spans="2:19">
      <c r="B74" s="4">
        <v>1993</v>
      </c>
      <c r="C74" s="4">
        <v>3</v>
      </c>
      <c r="D74" s="4">
        <v>599000</v>
      </c>
      <c r="E74" s="4">
        <v>1984</v>
      </c>
      <c r="F74" s="4">
        <v>2</v>
      </c>
      <c r="G74" s="90">
        <v>599000</v>
      </c>
      <c r="H74" s="4">
        <v>1970</v>
      </c>
      <c r="I74" s="4">
        <v>1</v>
      </c>
      <c r="J74" s="4">
        <v>879000</v>
      </c>
      <c r="K74">
        <v>1960</v>
      </c>
      <c r="L74">
        <v>5</v>
      </c>
      <c r="M74">
        <v>1190000</v>
      </c>
      <c r="N74">
        <v>1951</v>
      </c>
      <c r="O74">
        <v>2</v>
      </c>
      <c r="P74">
        <v>999000</v>
      </c>
      <c r="Q74">
        <v>1946</v>
      </c>
      <c r="R74">
        <v>5</v>
      </c>
      <c r="S74">
        <v>449000</v>
      </c>
    </row>
    <row r="75" spans="2:19">
      <c r="B75" s="4">
        <v>1993</v>
      </c>
      <c r="C75" s="4">
        <v>2</v>
      </c>
      <c r="D75" s="4">
        <v>599000</v>
      </c>
      <c r="E75" s="4">
        <v>1984</v>
      </c>
      <c r="F75" s="4">
        <v>4</v>
      </c>
      <c r="G75" s="90">
        <v>599000</v>
      </c>
      <c r="H75" s="4">
        <v>1970</v>
      </c>
      <c r="I75" s="4">
        <v>1</v>
      </c>
      <c r="J75" s="4">
        <v>879000</v>
      </c>
      <c r="K75">
        <v>1960</v>
      </c>
      <c r="L75">
        <v>5</v>
      </c>
      <c r="M75">
        <v>1190000</v>
      </c>
      <c r="N75">
        <v>1951</v>
      </c>
      <c r="O75">
        <v>2</v>
      </c>
      <c r="P75">
        <v>999000</v>
      </c>
      <c r="Q75">
        <v>1946</v>
      </c>
      <c r="R75">
        <v>6</v>
      </c>
      <c r="S75">
        <v>449000</v>
      </c>
    </row>
    <row r="76" spans="2:19">
      <c r="B76" s="4">
        <v>1993</v>
      </c>
      <c r="C76" s="4">
        <v>2</v>
      </c>
      <c r="D76" s="4">
        <v>599000</v>
      </c>
      <c r="E76" s="4">
        <v>1984</v>
      </c>
      <c r="F76" s="4">
        <v>4</v>
      </c>
      <c r="G76" s="90">
        <v>599000</v>
      </c>
      <c r="H76" s="4">
        <v>1970</v>
      </c>
      <c r="I76" s="4">
        <v>1</v>
      </c>
      <c r="J76" s="4">
        <v>859000</v>
      </c>
      <c r="K76">
        <v>1960</v>
      </c>
      <c r="L76">
        <v>3</v>
      </c>
      <c r="M76">
        <v>1190000</v>
      </c>
      <c r="N76">
        <v>1951</v>
      </c>
      <c r="O76">
        <v>1</v>
      </c>
      <c r="P76">
        <v>999000</v>
      </c>
      <c r="Q76">
        <v>1946</v>
      </c>
      <c r="R76">
        <v>7</v>
      </c>
      <c r="S76">
        <v>449000</v>
      </c>
    </row>
    <row r="77" spans="2:19">
      <c r="B77" s="4">
        <v>1993</v>
      </c>
      <c r="C77" s="4">
        <v>5</v>
      </c>
      <c r="D77" s="4">
        <v>599000</v>
      </c>
      <c r="E77" s="4">
        <v>1984</v>
      </c>
      <c r="F77" s="4">
        <v>4</v>
      </c>
      <c r="G77" s="90">
        <v>599000</v>
      </c>
      <c r="H77" s="4">
        <v>1971</v>
      </c>
      <c r="I77" s="4">
        <v>2</v>
      </c>
      <c r="J77" s="4">
        <v>849000</v>
      </c>
      <c r="K77">
        <v>1960</v>
      </c>
      <c r="L77">
        <v>2</v>
      </c>
      <c r="M77">
        <v>1190000</v>
      </c>
      <c r="N77">
        <v>1951</v>
      </c>
      <c r="O77">
        <v>1</v>
      </c>
      <c r="P77">
        <v>979000</v>
      </c>
      <c r="Q77">
        <v>1946</v>
      </c>
      <c r="R77">
        <v>13</v>
      </c>
      <c r="S77">
        <v>449000</v>
      </c>
    </row>
    <row r="78" spans="2:19">
      <c r="B78" s="4">
        <v>1993</v>
      </c>
      <c r="C78" s="4">
        <v>6</v>
      </c>
      <c r="D78" s="4">
        <v>599000</v>
      </c>
      <c r="E78" s="4">
        <v>1984</v>
      </c>
      <c r="F78" s="4">
        <v>5</v>
      </c>
      <c r="G78" s="90">
        <v>599000</v>
      </c>
      <c r="H78" s="4">
        <v>1971</v>
      </c>
      <c r="I78" s="4">
        <v>2</v>
      </c>
      <c r="J78" s="4">
        <v>849000</v>
      </c>
      <c r="K78">
        <v>1960</v>
      </c>
      <c r="L78">
        <v>1</v>
      </c>
      <c r="M78">
        <v>1190000</v>
      </c>
      <c r="N78">
        <v>1951</v>
      </c>
      <c r="O78">
        <v>1</v>
      </c>
      <c r="P78">
        <v>979000</v>
      </c>
      <c r="Q78">
        <v>1946</v>
      </c>
      <c r="R78">
        <v>13</v>
      </c>
      <c r="S78">
        <v>449000</v>
      </c>
    </row>
    <row r="79" spans="2:19">
      <c r="B79" s="4">
        <v>1993</v>
      </c>
      <c r="C79" s="4">
        <v>1</v>
      </c>
      <c r="D79" s="4">
        <v>599000</v>
      </c>
      <c r="E79" s="4">
        <v>1984</v>
      </c>
      <c r="F79" s="4">
        <v>7</v>
      </c>
      <c r="G79" s="90">
        <v>599000</v>
      </c>
      <c r="H79" s="4">
        <v>1971</v>
      </c>
      <c r="I79" s="4">
        <v>2</v>
      </c>
      <c r="J79" s="4">
        <v>849000</v>
      </c>
      <c r="K79">
        <v>1960</v>
      </c>
      <c r="L79">
        <v>1</v>
      </c>
      <c r="M79">
        <v>1190000</v>
      </c>
      <c r="N79">
        <v>1951</v>
      </c>
      <c r="O79">
        <v>1</v>
      </c>
      <c r="P79">
        <v>969000</v>
      </c>
      <c r="Q79">
        <v>1946</v>
      </c>
      <c r="R79">
        <v>1</v>
      </c>
      <c r="S79">
        <v>412000</v>
      </c>
    </row>
    <row r="80" spans="2:19">
      <c r="B80" s="4">
        <v>1993</v>
      </c>
      <c r="C80" s="4">
        <v>4</v>
      </c>
      <c r="D80" s="4">
        <v>599000</v>
      </c>
      <c r="E80" s="4">
        <v>1984</v>
      </c>
      <c r="F80" s="4">
        <v>1</v>
      </c>
      <c r="G80" s="90">
        <v>529000</v>
      </c>
      <c r="H80" s="4">
        <v>1971</v>
      </c>
      <c r="I80" s="4">
        <v>2</v>
      </c>
      <c r="J80" s="4">
        <v>849000</v>
      </c>
      <c r="K80">
        <v>1960</v>
      </c>
      <c r="L80">
        <v>1</v>
      </c>
      <c r="M80">
        <v>1190000</v>
      </c>
      <c r="N80">
        <v>1951</v>
      </c>
      <c r="O80">
        <v>1</v>
      </c>
      <c r="P80">
        <v>969000</v>
      </c>
      <c r="Q80">
        <v>1946</v>
      </c>
      <c r="R80">
        <v>1</v>
      </c>
      <c r="S80">
        <v>399000</v>
      </c>
    </row>
    <row r="81" spans="2:19">
      <c r="B81" s="4">
        <v>1993</v>
      </c>
      <c r="C81" s="4">
        <v>2</v>
      </c>
      <c r="D81" s="4">
        <v>579000</v>
      </c>
      <c r="E81" s="4">
        <v>1984</v>
      </c>
      <c r="F81" s="4">
        <v>2</v>
      </c>
      <c r="G81" s="90">
        <v>529000</v>
      </c>
      <c r="H81" s="4">
        <v>1971</v>
      </c>
      <c r="I81" s="4">
        <v>2</v>
      </c>
      <c r="J81" s="4">
        <v>849000</v>
      </c>
      <c r="K81">
        <v>1960</v>
      </c>
      <c r="L81">
        <v>1</v>
      </c>
      <c r="M81">
        <v>1180000</v>
      </c>
      <c r="N81">
        <v>1951</v>
      </c>
      <c r="O81">
        <v>1</v>
      </c>
      <c r="P81">
        <v>969000</v>
      </c>
      <c r="Q81">
        <v>1946</v>
      </c>
      <c r="R81">
        <v>1</v>
      </c>
      <c r="S81">
        <v>399000</v>
      </c>
    </row>
    <row r="82" spans="2:19">
      <c r="B82" s="4">
        <v>1993</v>
      </c>
      <c r="C82" s="4">
        <v>1</v>
      </c>
      <c r="D82" s="4">
        <v>552000</v>
      </c>
      <c r="E82" s="4">
        <v>1984</v>
      </c>
      <c r="F82" s="4">
        <v>2</v>
      </c>
      <c r="G82" s="90">
        <v>529000</v>
      </c>
      <c r="H82" s="4">
        <v>1971</v>
      </c>
      <c r="I82" s="4">
        <v>1</v>
      </c>
      <c r="J82" s="4">
        <v>849000</v>
      </c>
      <c r="K82">
        <v>1960</v>
      </c>
      <c r="L82">
        <v>1</v>
      </c>
      <c r="M82">
        <v>1180000</v>
      </c>
      <c r="N82">
        <v>1951</v>
      </c>
      <c r="O82">
        <v>1</v>
      </c>
      <c r="P82">
        <v>960000</v>
      </c>
      <c r="Q82">
        <v>1947</v>
      </c>
      <c r="R82">
        <v>2</v>
      </c>
      <c r="S82">
        <v>399000</v>
      </c>
    </row>
    <row r="83" spans="2:19">
      <c r="B83" s="4">
        <v>1994</v>
      </c>
      <c r="C83" s="4">
        <v>2</v>
      </c>
      <c r="D83" s="4">
        <v>549000</v>
      </c>
      <c r="E83" s="4">
        <v>1984</v>
      </c>
      <c r="F83" s="4">
        <v>1</v>
      </c>
      <c r="G83" s="90">
        <v>512000</v>
      </c>
      <c r="H83" s="4">
        <v>1971</v>
      </c>
      <c r="I83" s="4">
        <v>1</v>
      </c>
      <c r="J83" s="4">
        <v>849000</v>
      </c>
      <c r="K83">
        <v>1960</v>
      </c>
      <c r="L83">
        <v>1</v>
      </c>
      <c r="M83">
        <v>1180000</v>
      </c>
      <c r="N83">
        <v>1951</v>
      </c>
      <c r="O83">
        <v>1</v>
      </c>
      <c r="P83">
        <v>960000</v>
      </c>
      <c r="Q83">
        <v>1947</v>
      </c>
      <c r="R83">
        <v>2</v>
      </c>
      <c r="S83">
        <v>399000</v>
      </c>
    </row>
    <row r="84" spans="2:19">
      <c r="B84" s="4">
        <v>1994</v>
      </c>
      <c r="C84" s="4">
        <v>1</v>
      </c>
      <c r="D84" s="4">
        <v>529000</v>
      </c>
      <c r="E84" s="4">
        <v>1984</v>
      </c>
      <c r="F84" s="4">
        <v>1</v>
      </c>
      <c r="G84" s="90">
        <v>499000</v>
      </c>
      <c r="H84" s="4">
        <v>1971</v>
      </c>
      <c r="I84" s="4">
        <v>1</v>
      </c>
      <c r="J84" s="4">
        <v>812000</v>
      </c>
      <c r="K84">
        <v>1960</v>
      </c>
      <c r="L84">
        <v>6</v>
      </c>
      <c r="M84">
        <v>1149000</v>
      </c>
      <c r="N84">
        <v>1951</v>
      </c>
      <c r="O84">
        <v>1</v>
      </c>
      <c r="P84">
        <v>960000</v>
      </c>
      <c r="Q84">
        <v>1947</v>
      </c>
      <c r="R84">
        <v>3</v>
      </c>
      <c r="S84">
        <v>399000</v>
      </c>
    </row>
    <row r="85" spans="2:19">
      <c r="B85" s="4">
        <v>1994</v>
      </c>
      <c r="C85" s="4">
        <v>2</v>
      </c>
      <c r="D85" s="4">
        <v>529000</v>
      </c>
      <c r="E85" s="4">
        <v>1984</v>
      </c>
      <c r="F85" s="4">
        <v>1</v>
      </c>
      <c r="G85" s="90">
        <v>499000</v>
      </c>
      <c r="H85" s="4">
        <v>1971</v>
      </c>
      <c r="I85" s="4">
        <v>5</v>
      </c>
      <c r="J85" s="4">
        <v>799000</v>
      </c>
      <c r="K85">
        <v>1960</v>
      </c>
      <c r="L85">
        <v>4</v>
      </c>
      <c r="M85">
        <v>1149000</v>
      </c>
      <c r="N85">
        <v>1952</v>
      </c>
      <c r="O85">
        <v>2</v>
      </c>
      <c r="P85">
        <v>950000</v>
      </c>
      <c r="Q85">
        <v>1947</v>
      </c>
      <c r="R85">
        <v>4</v>
      </c>
      <c r="S85">
        <v>399000</v>
      </c>
    </row>
    <row r="86" spans="2:19">
      <c r="B86" s="4">
        <v>1994</v>
      </c>
      <c r="C86" s="4">
        <v>1</v>
      </c>
      <c r="D86" s="4">
        <v>529000</v>
      </c>
      <c r="E86" s="4">
        <v>1984</v>
      </c>
      <c r="F86" s="4">
        <v>1</v>
      </c>
      <c r="G86" s="90">
        <v>499000</v>
      </c>
      <c r="H86" s="4">
        <v>1971</v>
      </c>
      <c r="I86" s="4">
        <v>4</v>
      </c>
      <c r="J86" s="4">
        <v>799000</v>
      </c>
      <c r="K86">
        <v>1960</v>
      </c>
      <c r="L86">
        <v>4</v>
      </c>
      <c r="M86">
        <v>1149000</v>
      </c>
      <c r="N86">
        <v>1952</v>
      </c>
      <c r="O86">
        <v>1</v>
      </c>
      <c r="P86">
        <v>950000</v>
      </c>
      <c r="Q86">
        <v>1947</v>
      </c>
      <c r="R86">
        <v>1</v>
      </c>
      <c r="S86">
        <v>390000</v>
      </c>
    </row>
    <row r="87" spans="2:19">
      <c r="B87" s="4">
        <v>1994</v>
      </c>
      <c r="C87" s="4">
        <v>2</v>
      </c>
      <c r="D87" s="4">
        <v>529000</v>
      </c>
      <c r="E87" s="4">
        <v>1984</v>
      </c>
      <c r="F87" s="4">
        <v>2</v>
      </c>
      <c r="G87" s="90">
        <v>499000</v>
      </c>
      <c r="H87" s="4">
        <v>1971</v>
      </c>
      <c r="I87" s="4">
        <v>3</v>
      </c>
      <c r="J87" s="4">
        <v>799000</v>
      </c>
      <c r="K87">
        <v>1960</v>
      </c>
      <c r="L87">
        <v>3</v>
      </c>
      <c r="M87">
        <v>1149000</v>
      </c>
      <c r="N87">
        <v>1952</v>
      </c>
      <c r="O87">
        <v>1</v>
      </c>
      <c r="P87">
        <v>950000</v>
      </c>
      <c r="Q87">
        <v>1947</v>
      </c>
      <c r="R87">
        <v>1</v>
      </c>
      <c r="S87">
        <v>389000</v>
      </c>
    </row>
    <row r="88" spans="2:19">
      <c r="B88" s="4">
        <v>1994</v>
      </c>
      <c r="C88" s="4">
        <v>1</v>
      </c>
      <c r="D88" s="4">
        <v>529000</v>
      </c>
      <c r="E88" s="4">
        <v>1985</v>
      </c>
      <c r="F88" s="4">
        <v>2</v>
      </c>
      <c r="G88" s="90">
        <v>499000</v>
      </c>
      <c r="H88" s="4">
        <v>1971</v>
      </c>
      <c r="I88" s="4">
        <v>3</v>
      </c>
      <c r="J88" s="4">
        <v>799000</v>
      </c>
      <c r="K88">
        <v>1960</v>
      </c>
      <c r="L88">
        <v>2</v>
      </c>
      <c r="M88">
        <v>1149000</v>
      </c>
      <c r="N88">
        <v>1952</v>
      </c>
      <c r="O88">
        <v>14</v>
      </c>
      <c r="P88">
        <v>949000</v>
      </c>
      <c r="Q88">
        <v>1947</v>
      </c>
      <c r="R88">
        <v>2</v>
      </c>
      <c r="S88">
        <v>389000</v>
      </c>
    </row>
    <row r="89" spans="2:19">
      <c r="B89" s="4">
        <v>1994</v>
      </c>
      <c r="C89" s="4">
        <v>2</v>
      </c>
      <c r="D89" s="4">
        <v>529000</v>
      </c>
      <c r="E89" s="4">
        <v>1985</v>
      </c>
      <c r="F89" s="4">
        <v>2</v>
      </c>
      <c r="G89" s="90">
        <v>499000</v>
      </c>
      <c r="H89" s="4">
        <v>1971</v>
      </c>
      <c r="I89" s="4">
        <v>2</v>
      </c>
      <c r="J89" s="4">
        <v>799000</v>
      </c>
      <c r="K89">
        <v>1960</v>
      </c>
      <c r="L89">
        <v>2</v>
      </c>
      <c r="M89">
        <v>1149000</v>
      </c>
      <c r="N89">
        <v>1952</v>
      </c>
      <c r="O89">
        <v>8</v>
      </c>
      <c r="P89">
        <v>949000</v>
      </c>
      <c r="Q89">
        <v>1947</v>
      </c>
      <c r="R89">
        <v>2</v>
      </c>
      <c r="S89">
        <v>389000</v>
      </c>
    </row>
    <row r="90" spans="2:19">
      <c r="B90" s="4">
        <v>1994</v>
      </c>
      <c r="C90" s="4">
        <v>1</v>
      </c>
      <c r="D90" s="4">
        <v>529000</v>
      </c>
      <c r="E90" s="4">
        <v>1985</v>
      </c>
      <c r="F90" s="4">
        <v>4</v>
      </c>
      <c r="G90" s="90">
        <v>499000</v>
      </c>
      <c r="H90" s="4">
        <v>1971</v>
      </c>
      <c r="I90" s="4">
        <v>2</v>
      </c>
      <c r="J90" s="4">
        <v>799000</v>
      </c>
      <c r="K90">
        <v>1960</v>
      </c>
      <c r="L90">
        <v>2</v>
      </c>
      <c r="M90">
        <v>1149000</v>
      </c>
      <c r="N90">
        <v>1952</v>
      </c>
      <c r="O90">
        <v>8</v>
      </c>
      <c r="P90">
        <v>949000</v>
      </c>
      <c r="Q90">
        <v>1947</v>
      </c>
      <c r="R90">
        <v>1</v>
      </c>
      <c r="S90">
        <v>388000</v>
      </c>
    </row>
    <row r="91" spans="2:19">
      <c r="B91" s="4">
        <v>1994</v>
      </c>
      <c r="C91" s="4">
        <v>1</v>
      </c>
      <c r="D91" s="4">
        <v>500000</v>
      </c>
      <c r="E91" s="4">
        <v>1985</v>
      </c>
      <c r="F91" s="4">
        <v>4</v>
      </c>
      <c r="G91" s="90">
        <v>499000</v>
      </c>
      <c r="H91" s="4">
        <v>1971</v>
      </c>
      <c r="I91" s="4">
        <v>1</v>
      </c>
      <c r="J91" s="4">
        <v>799000</v>
      </c>
      <c r="K91">
        <v>1960</v>
      </c>
      <c r="L91">
        <v>2</v>
      </c>
      <c r="M91">
        <v>1149000</v>
      </c>
      <c r="N91">
        <v>1952</v>
      </c>
      <c r="O91">
        <v>8</v>
      </c>
      <c r="P91">
        <v>949000</v>
      </c>
      <c r="Q91">
        <v>1947</v>
      </c>
      <c r="R91">
        <v>1</v>
      </c>
      <c r="S91">
        <v>369000</v>
      </c>
    </row>
    <row r="92" spans="2:19">
      <c r="B92" s="4">
        <v>1994</v>
      </c>
      <c r="C92" s="4">
        <v>1</v>
      </c>
      <c r="D92" s="4">
        <v>500000</v>
      </c>
      <c r="E92" s="4">
        <v>1985</v>
      </c>
      <c r="F92" s="4">
        <v>1</v>
      </c>
      <c r="G92" s="90">
        <v>489000</v>
      </c>
      <c r="H92" s="4">
        <v>1971</v>
      </c>
      <c r="I92" s="4">
        <v>4</v>
      </c>
      <c r="J92" s="4">
        <v>749000</v>
      </c>
      <c r="K92">
        <v>1960</v>
      </c>
      <c r="L92">
        <v>2</v>
      </c>
      <c r="M92">
        <v>1149000</v>
      </c>
      <c r="N92">
        <v>1952</v>
      </c>
      <c r="O92">
        <v>5</v>
      </c>
      <c r="P92">
        <v>949000</v>
      </c>
      <c r="Q92">
        <v>1947</v>
      </c>
      <c r="R92">
        <v>1</v>
      </c>
      <c r="S92">
        <v>369000</v>
      </c>
    </row>
    <row r="93" spans="2:19">
      <c r="B93" s="4">
        <v>1994</v>
      </c>
      <c r="C93" s="4">
        <v>3</v>
      </c>
      <c r="D93" s="4">
        <v>499000</v>
      </c>
      <c r="E93" s="4">
        <v>1985</v>
      </c>
      <c r="F93" s="4">
        <v>1</v>
      </c>
      <c r="G93" s="90">
        <v>481000</v>
      </c>
      <c r="H93" s="4">
        <v>1971</v>
      </c>
      <c r="I93" s="4">
        <v>3</v>
      </c>
      <c r="J93" s="4">
        <v>749000</v>
      </c>
      <c r="K93">
        <v>1960</v>
      </c>
      <c r="L93">
        <v>2</v>
      </c>
      <c r="M93">
        <v>1140000</v>
      </c>
      <c r="N93">
        <v>1952</v>
      </c>
      <c r="O93">
        <v>2</v>
      </c>
      <c r="P93">
        <v>949000</v>
      </c>
      <c r="Q93">
        <v>1947</v>
      </c>
      <c r="R93">
        <v>1</v>
      </c>
      <c r="S93">
        <v>369000</v>
      </c>
    </row>
    <row r="94" spans="2:19">
      <c r="B94" s="4">
        <v>1994</v>
      </c>
      <c r="C94" s="4">
        <v>4</v>
      </c>
      <c r="D94" s="4">
        <v>499000</v>
      </c>
      <c r="E94" s="4">
        <v>1985</v>
      </c>
      <c r="F94" s="4">
        <v>1</v>
      </c>
      <c r="G94" s="90">
        <v>469000</v>
      </c>
      <c r="H94" s="4">
        <v>1971</v>
      </c>
      <c r="I94" s="4">
        <v>2</v>
      </c>
      <c r="J94" s="4">
        <v>749000</v>
      </c>
      <c r="K94">
        <v>1960</v>
      </c>
      <c r="L94">
        <v>2</v>
      </c>
      <c r="M94">
        <v>1140000</v>
      </c>
      <c r="N94">
        <v>1952</v>
      </c>
      <c r="O94">
        <v>2</v>
      </c>
      <c r="P94">
        <v>949000</v>
      </c>
      <c r="Q94">
        <v>1947</v>
      </c>
      <c r="R94">
        <v>1</v>
      </c>
      <c r="S94">
        <v>369000</v>
      </c>
    </row>
    <row r="95" spans="2:19">
      <c r="B95" s="4">
        <v>1994</v>
      </c>
      <c r="C95" s="4">
        <v>3</v>
      </c>
      <c r="D95" s="4">
        <v>499000</v>
      </c>
      <c r="E95" s="4">
        <v>1985</v>
      </c>
      <c r="F95" s="4">
        <v>1</v>
      </c>
      <c r="G95" s="90">
        <v>469000</v>
      </c>
      <c r="H95" s="4">
        <v>1971</v>
      </c>
      <c r="I95" s="4">
        <v>2</v>
      </c>
      <c r="J95" s="4">
        <v>749000</v>
      </c>
      <c r="K95">
        <v>1960</v>
      </c>
      <c r="L95">
        <v>1</v>
      </c>
      <c r="M95">
        <v>1140000</v>
      </c>
      <c r="N95">
        <v>1952</v>
      </c>
      <c r="O95">
        <v>2</v>
      </c>
      <c r="P95">
        <v>918000</v>
      </c>
      <c r="Q95">
        <v>1947</v>
      </c>
      <c r="R95">
        <v>1</v>
      </c>
      <c r="S95">
        <v>369000</v>
      </c>
    </row>
    <row r="96" spans="2:19">
      <c r="B96" s="4">
        <v>1994</v>
      </c>
      <c r="C96" s="4">
        <v>2</v>
      </c>
      <c r="D96" s="4">
        <v>499000</v>
      </c>
      <c r="E96" s="4">
        <v>1985</v>
      </c>
      <c r="F96" s="4">
        <v>1</v>
      </c>
      <c r="G96" s="90">
        <v>469000</v>
      </c>
      <c r="H96" s="4">
        <v>1971</v>
      </c>
      <c r="I96" s="4">
        <v>2</v>
      </c>
      <c r="J96" s="4">
        <v>745000</v>
      </c>
      <c r="K96">
        <v>1960</v>
      </c>
      <c r="L96">
        <v>1</v>
      </c>
      <c r="M96">
        <v>1140000</v>
      </c>
      <c r="N96">
        <v>1952</v>
      </c>
      <c r="O96">
        <v>2</v>
      </c>
      <c r="P96">
        <v>918000</v>
      </c>
      <c r="Q96">
        <v>1947</v>
      </c>
      <c r="R96">
        <v>1</v>
      </c>
      <c r="S96">
        <v>349000</v>
      </c>
    </row>
    <row r="97" spans="2:19">
      <c r="B97" s="4">
        <v>1995</v>
      </c>
      <c r="C97" s="4">
        <v>3</v>
      </c>
      <c r="D97" s="4">
        <v>499000</v>
      </c>
      <c r="E97" s="4">
        <v>1985</v>
      </c>
      <c r="F97" s="4">
        <v>1</v>
      </c>
      <c r="G97" s="90">
        <v>449000</v>
      </c>
      <c r="H97" s="4">
        <v>1971</v>
      </c>
      <c r="I97" s="4">
        <v>2</v>
      </c>
      <c r="J97" s="4">
        <v>745000</v>
      </c>
      <c r="K97">
        <v>1960</v>
      </c>
      <c r="L97">
        <v>1</v>
      </c>
      <c r="M97">
        <v>1140000</v>
      </c>
      <c r="N97">
        <v>1952</v>
      </c>
      <c r="O97">
        <v>1</v>
      </c>
      <c r="P97">
        <v>918000</v>
      </c>
      <c r="Q97">
        <v>1947</v>
      </c>
      <c r="R97">
        <v>1</v>
      </c>
      <c r="S97">
        <v>349000</v>
      </c>
    </row>
    <row r="98" spans="2:19">
      <c r="B98" s="4">
        <v>1995</v>
      </c>
      <c r="C98" s="4">
        <v>2</v>
      </c>
      <c r="D98" s="4">
        <v>499000</v>
      </c>
      <c r="E98" s="4">
        <v>1985</v>
      </c>
      <c r="F98" s="4">
        <v>1</v>
      </c>
      <c r="G98" s="90">
        <v>449000</v>
      </c>
      <c r="H98" s="4">
        <v>1971</v>
      </c>
      <c r="I98" s="4">
        <v>1</v>
      </c>
      <c r="J98" s="4">
        <v>729000</v>
      </c>
      <c r="K98">
        <v>1960</v>
      </c>
      <c r="L98">
        <v>12</v>
      </c>
      <c r="M98">
        <v>1099000</v>
      </c>
      <c r="N98">
        <v>1952</v>
      </c>
      <c r="O98">
        <v>4</v>
      </c>
      <c r="P98">
        <v>910000</v>
      </c>
      <c r="Q98">
        <v>1947</v>
      </c>
      <c r="R98">
        <v>1</v>
      </c>
      <c r="S98">
        <v>349000</v>
      </c>
    </row>
    <row r="99" spans="2:19">
      <c r="B99" s="4">
        <v>1995</v>
      </c>
      <c r="C99" s="4">
        <v>1</v>
      </c>
      <c r="D99" s="4">
        <v>499000</v>
      </c>
      <c r="E99" s="4">
        <v>1985</v>
      </c>
      <c r="F99" s="4">
        <v>1</v>
      </c>
      <c r="G99" s="90">
        <v>449000</v>
      </c>
      <c r="H99" s="4">
        <v>1971</v>
      </c>
      <c r="I99" s="4">
        <v>1</v>
      </c>
      <c r="J99" s="4">
        <v>729000</v>
      </c>
      <c r="K99">
        <v>1960</v>
      </c>
      <c r="L99">
        <v>9</v>
      </c>
      <c r="M99">
        <v>1099000</v>
      </c>
      <c r="N99">
        <v>1952</v>
      </c>
      <c r="O99">
        <v>2</v>
      </c>
      <c r="P99">
        <v>910000</v>
      </c>
      <c r="Q99">
        <v>1947</v>
      </c>
      <c r="R99">
        <v>2</v>
      </c>
      <c r="S99">
        <v>349000</v>
      </c>
    </row>
    <row r="100" spans="2:19">
      <c r="B100" s="4">
        <v>1995</v>
      </c>
      <c r="C100" s="4">
        <v>3</v>
      </c>
      <c r="D100" s="4">
        <v>499000</v>
      </c>
      <c r="E100" s="4">
        <v>1985</v>
      </c>
      <c r="F100" s="4">
        <v>1</v>
      </c>
      <c r="G100" s="90">
        <v>449000</v>
      </c>
      <c r="H100" s="4">
        <v>1971</v>
      </c>
      <c r="I100" s="4">
        <v>1</v>
      </c>
      <c r="J100" s="4">
        <v>729000</v>
      </c>
      <c r="K100">
        <v>1960</v>
      </c>
      <c r="L100">
        <v>8</v>
      </c>
      <c r="M100">
        <v>1099000</v>
      </c>
      <c r="N100">
        <v>1952</v>
      </c>
      <c r="O100">
        <v>1</v>
      </c>
      <c r="P100">
        <v>900000</v>
      </c>
      <c r="Q100">
        <v>1947</v>
      </c>
      <c r="R100">
        <v>4</v>
      </c>
      <c r="S100">
        <v>349000</v>
      </c>
    </row>
    <row r="101" spans="2:19">
      <c r="B101" s="4">
        <v>1995</v>
      </c>
      <c r="C101" s="4">
        <v>1</v>
      </c>
      <c r="D101" s="4">
        <v>449000</v>
      </c>
      <c r="E101" s="4">
        <v>1986</v>
      </c>
      <c r="F101" s="4">
        <v>2</v>
      </c>
      <c r="G101" s="90">
        <v>449000</v>
      </c>
      <c r="H101" s="4">
        <v>1971</v>
      </c>
      <c r="I101" s="4">
        <v>19</v>
      </c>
      <c r="J101" s="4">
        <v>699000</v>
      </c>
      <c r="K101">
        <v>1960</v>
      </c>
      <c r="L101">
        <v>7</v>
      </c>
      <c r="M101">
        <v>1099000</v>
      </c>
      <c r="N101">
        <v>1952</v>
      </c>
      <c r="O101">
        <v>9</v>
      </c>
      <c r="P101">
        <v>899000</v>
      </c>
      <c r="Q101">
        <v>1947</v>
      </c>
      <c r="R101">
        <v>6</v>
      </c>
      <c r="S101">
        <v>349000</v>
      </c>
    </row>
    <row r="102" spans="2:19">
      <c r="B102" s="4">
        <v>1995</v>
      </c>
      <c r="C102" s="4">
        <v>3</v>
      </c>
      <c r="D102" s="4">
        <v>449000</v>
      </c>
      <c r="E102" s="4">
        <v>1986</v>
      </c>
      <c r="F102" s="4">
        <v>3</v>
      </c>
      <c r="G102" s="90">
        <v>449000</v>
      </c>
      <c r="H102" s="4">
        <v>1971</v>
      </c>
      <c r="I102" s="4">
        <v>16</v>
      </c>
      <c r="J102" s="4">
        <v>699000</v>
      </c>
      <c r="K102">
        <v>1960</v>
      </c>
      <c r="L102">
        <v>7</v>
      </c>
      <c r="M102">
        <v>1099000</v>
      </c>
      <c r="N102">
        <v>1952</v>
      </c>
      <c r="O102">
        <v>8</v>
      </c>
      <c r="P102">
        <v>899000</v>
      </c>
      <c r="Q102">
        <v>1947</v>
      </c>
      <c r="R102">
        <v>8</v>
      </c>
      <c r="S102">
        <v>349000</v>
      </c>
    </row>
    <row r="103" spans="2:19">
      <c r="B103" s="4">
        <v>1995</v>
      </c>
      <c r="C103" s="4">
        <v>1</v>
      </c>
      <c r="D103" s="4">
        <v>449000</v>
      </c>
      <c r="E103" s="4">
        <v>1986</v>
      </c>
      <c r="F103" s="4">
        <v>3</v>
      </c>
      <c r="G103" s="90">
        <v>449000</v>
      </c>
      <c r="H103" s="4">
        <v>1971</v>
      </c>
      <c r="I103" s="4">
        <v>11</v>
      </c>
      <c r="J103" s="4">
        <v>699000</v>
      </c>
      <c r="K103">
        <v>1960</v>
      </c>
      <c r="L103">
        <v>6</v>
      </c>
      <c r="M103">
        <v>1099000</v>
      </c>
      <c r="N103">
        <v>1952</v>
      </c>
      <c r="O103">
        <v>7</v>
      </c>
      <c r="P103">
        <v>899000</v>
      </c>
      <c r="Q103">
        <v>1947</v>
      </c>
      <c r="R103">
        <v>2</v>
      </c>
      <c r="S103">
        <v>299000</v>
      </c>
    </row>
    <row r="104" spans="2:19">
      <c r="B104" s="4">
        <v>1995</v>
      </c>
      <c r="C104" s="4">
        <v>1</v>
      </c>
      <c r="D104" s="4">
        <v>449000</v>
      </c>
      <c r="E104" s="4">
        <v>1986</v>
      </c>
      <c r="F104" s="4">
        <v>3</v>
      </c>
      <c r="G104" s="90">
        <v>449000</v>
      </c>
      <c r="H104" s="4">
        <v>1971</v>
      </c>
      <c r="I104" s="4">
        <v>10</v>
      </c>
      <c r="J104" s="4">
        <v>699000</v>
      </c>
      <c r="K104">
        <v>1960</v>
      </c>
      <c r="L104">
        <v>3</v>
      </c>
      <c r="M104">
        <v>1099000</v>
      </c>
      <c r="N104">
        <v>1952</v>
      </c>
      <c r="O104">
        <v>7</v>
      </c>
      <c r="P104">
        <v>899000</v>
      </c>
    </row>
    <row r="105" spans="2:19">
      <c r="B105" s="4">
        <v>1995</v>
      </c>
      <c r="C105" s="4">
        <v>1</v>
      </c>
      <c r="D105" s="4">
        <v>449000</v>
      </c>
      <c r="E105" s="4">
        <v>1986</v>
      </c>
      <c r="F105" s="4">
        <v>1</v>
      </c>
      <c r="G105" s="90">
        <v>429000</v>
      </c>
      <c r="H105" s="4">
        <v>1972</v>
      </c>
      <c r="I105" s="4">
        <v>8</v>
      </c>
      <c r="J105" s="4">
        <v>699000</v>
      </c>
      <c r="K105">
        <v>1960</v>
      </c>
      <c r="L105">
        <v>3</v>
      </c>
      <c r="M105">
        <v>1099000</v>
      </c>
      <c r="N105">
        <v>1952</v>
      </c>
      <c r="O105">
        <v>7</v>
      </c>
      <c r="P105">
        <v>899000</v>
      </c>
    </row>
    <row r="106" spans="2:19">
      <c r="B106" s="4">
        <v>1995</v>
      </c>
      <c r="C106" s="4">
        <v>1</v>
      </c>
      <c r="D106" s="4">
        <v>449000</v>
      </c>
      <c r="E106" s="4">
        <v>1986</v>
      </c>
      <c r="F106" s="4">
        <v>1</v>
      </c>
      <c r="G106" s="90">
        <v>420000</v>
      </c>
      <c r="H106" s="4">
        <v>1972</v>
      </c>
      <c r="I106" s="4">
        <v>6</v>
      </c>
      <c r="J106" s="4">
        <v>699000</v>
      </c>
      <c r="K106">
        <v>1960</v>
      </c>
      <c r="L106">
        <v>3</v>
      </c>
      <c r="M106">
        <v>1099000</v>
      </c>
      <c r="N106">
        <v>1952</v>
      </c>
      <c r="O106">
        <v>6</v>
      </c>
      <c r="P106">
        <v>899000</v>
      </c>
    </row>
    <row r="107" spans="2:19">
      <c r="B107" s="4">
        <v>1995</v>
      </c>
      <c r="C107" s="4">
        <v>2</v>
      </c>
      <c r="D107" s="4">
        <v>449000</v>
      </c>
      <c r="E107" s="4">
        <v>1986</v>
      </c>
      <c r="F107" s="4">
        <v>1</v>
      </c>
      <c r="G107" s="90">
        <v>412000</v>
      </c>
      <c r="H107" s="4">
        <v>1972</v>
      </c>
      <c r="I107" s="4">
        <v>6</v>
      </c>
      <c r="J107" s="4">
        <v>699000</v>
      </c>
      <c r="K107">
        <v>1961</v>
      </c>
      <c r="L107">
        <v>2</v>
      </c>
      <c r="M107">
        <v>1090000</v>
      </c>
      <c r="N107">
        <v>1952</v>
      </c>
      <c r="O107">
        <v>4</v>
      </c>
      <c r="P107">
        <v>899000</v>
      </c>
    </row>
    <row r="108" spans="2:19">
      <c r="B108" s="4">
        <v>1995</v>
      </c>
      <c r="C108" s="4">
        <v>1</v>
      </c>
      <c r="D108" s="4">
        <v>429000</v>
      </c>
      <c r="E108" s="4">
        <v>1986</v>
      </c>
      <c r="F108" s="4">
        <v>1</v>
      </c>
      <c r="G108" s="90">
        <v>399000</v>
      </c>
      <c r="H108" s="4">
        <v>1972</v>
      </c>
      <c r="I108" s="4">
        <v>4</v>
      </c>
      <c r="J108" s="4">
        <v>699000</v>
      </c>
      <c r="K108">
        <v>1961</v>
      </c>
      <c r="L108">
        <v>2</v>
      </c>
      <c r="M108">
        <v>1090000</v>
      </c>
      <c r="N108">
        <v>1952</v>
      </c>
      <c r="O108">
        <v>3</v>
      </c>
      <c r="P108">
        <v>899000</v>
      </c>
    </row>
    <row r="109" spans="2:19">
      <c r="B109" s="4">
        <v>1995</v>
      </c>
      <c r="C109" s="4">
        <v>1</v>
      </c>
      <c r="D109" s="4">
        <v>429000</v>
      </c>
      <c r="E109" s="4">
        <v>1986</v>
      </c>
      <c r="F109" s="4">
        <v>1</v>
      </c>
      <c r="G109" s="90">
        <v>399000</v>
      </c>
      <c r="H109" s="4">
        <v>1972</v>
      </c>
      <c r="I109" s="4">
        <v>4</v>
      </c>
      <c r="J109" s="4">
        <v>699000</v>
      </c>
      <c r="K109">
        <v>1961</v>
      </c>
      <c r="L109">
        <v>1</v>
      </c>
      <c r="M109">
        <v>1090000</v>
      </c>
      <c r="N109">
        <v>1952</v>
      </c>
      <c r="O109">
        <v>1</v>
      </c>
      <c r="P109">
        <v>890000</v>
      </c>
    </row>
    <row r="110" spans="2:19">
      <c r="B110" s="4">
        <v>1995</v>
      </c>
      <c r="C110" s="4">
        <v>2</v>
      </c>
      <c r="D110" s="4">
        <v>399000</v>
      </c>
      <c r="E110" s="4">
        <v>1986</v>
      </c>
      <c r="F110" s="4">
        <v>1</v>
      </c>
      <c r="G110" s="90">
        <v>399000</v>
      </c>
      <c r="H110" s="4">
        <v>1972</v>
      </c>
      <c r="I110" s="4">
        <v>1</v>
      </c>
      <c r="J110" s="4">
        <v>690000</v>
      </c>
      <c r="K110">
        <v>1961</v>
      </c>
      <c r="L110">
        <v>1</v>
      </c>
      <c r="M110">
        <v>1090000</v>
      </c>
      <c r="N110">
        <v>1952</v>
      </c>
      <c r="O110">
        <v>5</v>
      </c>
      <c r="P110">
        <v>889000</v>
      </c>
    </row>
    <row r="111" spans="2:19">
      <c r="B111" s="4">
        <v>1996</v>
      </c>
      <c r="C111" s="4">
        <v>3</v>
      </c>
      <c r="D111" s="4">
        <v>399000</v>
      </c>
      <c r="E111" s="4">
        <v>1986</v>
      </c>
      <c r="F111" s="4">
        <v>1</v>
      </c>
      <c r="G111" s="90">
        <v>399000</v>
      </c>
      <c r="H111" s="4">
        <v>1972</v>
      </c>
      <c r="I111" s="4">
        <v>1</v>
      </c>
      <c r="J111" s="4">
        <v>690000</v>
      </c>
      <c r="K111">
        <v>1961</v>
      </c>
      <c r="L111">
        <v>1</v>
      </c>
      <c r="M111">
        <v>1090000</v>
      </c>
      <c r="N111">
        <v>1952</v>
      </c>
      <c r="O111">
        <v>3</v>
      </c>
      <c r="P111">
        <v>889000</v>
      </c>
    </row>
    <row r="112" spans="2:19">
      <c r="B112" s="4">
        <v>1996</v>
      </c>
      <c r="C112" s="4">
        <v>3</v>
      </c>
      <c r="D112" s="4">
        <v>399000</v>
      </c>
      <c r="E112" s="4">
        <v>1986</v>
      </c>
      <c r="F112" s="4">
        <v>2</v>
      </c>
      <c r="G112" s="90">
        <v>399000</v>
      </c>
      <c r="H112" s="4">
        <v>1972</v>
      </c>
      <c r="I112" s="4">
        <v>1</v>
      </c>
      <c r="J112" s="4">
        <v>689000</v>
      </c>
      <c r="K112">
        <v>1961</v>
      </c>
      <c r="L112">
        <v>4</v>
      </c>
      <c r="M112">
        <v>1080000</v>
      </c>
      <c r="N112">
        <v>1952</v>
      </c>
      <c r="O112">
        <v>2</v>
      </c>
      <c r="P112">
        <v>889000</v>
      </c>
    </row>
    <row r="113" spans="2:16">
      <c r="B113" s="4">
        <v>1996</v>
      </c>
      <c r="C113" s="4">
        <v>3</v>
      </c>
      <c r="D113" s="4">
        <v>399000</v>
      </c>
      <c r="E113" s="4">
        <v>1987</v>
      </c>
      <c r="F113" s="4">
        <v>2</v>
      </c>
      <c r="G113" s="90">
        <v>399000</v>
      </c>
      <c r="H113" s="4">
        <v>1972</v>
      </c>
      <c r="I113" s="4">
        <v>1</v>
      </c>
      <c r="J113" s="4">
        <v>679000</v>
      </c>
      <c r="K113">
        <v>1961</v>
      </c>
      <c r="L113">
        <v>3</v>
      </c>
      <c r="M113">
        <v>1080000</v>
      </c>
      <c r="N113">
        <v>1952</v>
      </c>
      <c r="O113">
        <v>1</v>
      </c>
      <c r="P113">
        <v>889000</v>
      </c>
    </row>
    <row r="114" spans="2:16">
      <c r="B114" s="4">
        <v>1996</v>
      </c>
      <c r="C114" s="4">
        <v>1</v>
      </c>
      <c r="D114" s="4">
        <v>399000</v>
      </c>
      <c r="E114" s="4">
        <v>1987</v>
      </c>
      <c r="F114" s="4">
        <v>2</v>
      </c>
      <c r="G114" s="90">
        <v>399000</v>
      </c>
      <c r="H114" s="4">
        <v>1972</v>
      </c>
      <c r="I114" s="4">
        <v>4</v>
      </c>
      <c r="J114" s="4">
        <v>649000</v>
      </c>
      <c r="K114">
        <v>1961</v>
      </c>
      <c r="L114">
        <v>2</v>
      </c>
      <c r="M114">
        <v>1080000</v>
      </c>
      <c r="N114">
        <v>1952</v>
      </c>
      <c r="O114">
        <v>1</v>
      </c>
      <c r="P114">
        <v>859000</v>
      </c>
    </row>
    <row r="115" spans="2:16">
      <c r="B115" s="4">
        <v>1996</v>
      </c>
      <c r="C115" s="4">
        <v>1</v>
      </c>
      <c r="D115" s="4">
        <v>399000</v>
      </c>
      <c r="E115" s="4">
        <v>1987</v>
      </c>
      <c r="F115" s="4">
        <v>3</v>
      </c>
      <c r="G115" s="90">
        <v>399000</v>
      </c>
      <c r="H115" s="4">
        <v>1972</v>
      </c>
      <c r="I115" s="4">
        <v>3</v>
      </c>
      <c r="J115" s="4">
        <v>649000</v>
      </c>
      <c r="K115">
        <v>1961</v>
      </c>
      <c r="L115">
        <v>1</v>
      </c>
      <c r="M115">
        <v>1080000</v>
      </c>
      <c r="N115">
        <v>1952</v>
      </c>
      <c r="O115">
        <v>3</v>
      </c>
      <c r="P115">
        <v>849000</v>
      </c>
    </row>
    <row r="116" spans="2:16">
      <c r="B116" s="4">
        <v>1996</v>
      </c>
      <c r="C116" s="4">
        <v>3</v>
      </c>
      <c r="D116" s="4">
        <v>399000</v>
      </c>
      <c r="E116" s="4">
        <v>1987</v>
      </c>
      <c r="F116" s="4">
        <v>2</v>
      </c>
      <c r="G116" s="90">
        <v>395000</v>
      </c>
      <c r="H116" s="4">
        <v>1972</v>
      </c>
      <c r="I116" s="4">
        <v>2</v>
      </c>
      <c r="J116" s="4">
        <v>649000</v>
      </c>
      <c r="K116">
        <v>1961</v>
      </c>
      <c r="L116">
        <v>2</v>
      </c>
      <c r="M116">
        <v>1070000</v>
      </c>
      <c r="N116">
        <v>1952</v>
      </c>
      <c r="O116">
        <v>3</v>
      </c>
      <c r="P116">
        <v>849000</v>
      </c>
    </row>
    <row r="117" spans="2:16">
      <c r="B117" s="4">
        <v>1996</v>
      </c>
      <c r="C117" s="4">
        <v>5</v>
      </c>
      <c r="D117" s="4">
        <v>399000</v>
      </c>
      <c r="E117" s="4">
        <v>1987</v>
      </c>
      <c r="F117" s="4">
        <v>2</v>
      </c>
      <c r="G117" s="90">
        <v>380000</v>
      </c>
      <c r="H117" s="4">
        <v>1972</v>
      </c>
      <c r="I117" s="4">
        <v>2</v>
      </c>
      <c r="J117" s="4">
        <v>649000</v>
      </c>
      <c r="K117">
        <v>1961</v>
      </c>
      <c r="L117">
        <v>2</v>
      </c>
      <c r="M117">
        <v>1070000</v>
      </c>
      <c r="N117">
        <v>1952</v>
      </c>
      <c r="O117">
        <v>2</v>
      </c>
      <c r="P117">
        <v>849000</v>
      </c>
    </row>
    <row r="118" spans="2:16">
      <c r="B118" s="4">
        <v>1996</v>
      </c>
      <c r="C118" s="4">
        <v>3</v>
      </c>
      <c r="D118" s="4">
        <v>399000</v>
      </c>
      <c r="E118" s="4">
        <v>1987</v>
      </c>
      <c r="F118" s="4">
        <v>1</v>
      </c>
      <c r="G118" s="90">
        <v>369000</v>
      </c>
      <c r="H118" s="4">
        <v>1972</v>
      </c>
      <c r="I118" s="4">
        <v>1</v>
      </c>
      <c r="J118" s="4">
        <v>649000</v>
      </c>
      <c r="K118">
        <v>1961</v>
      </c>
      <c r="L118">
        <v>1</v>
      </c>
      <c r="M118">
        <v>1070000</v>
      </c>
      <c r="N118">
        <v>1952</v>
      </c>
      <c r="O118">
        <v>2</v>
      </c>
      <c r="P118">
        <v>849000</v>
      </c>
    </row>
    <row r="119" spans="2:16">
      <c r="B119" s="4">
        <v>1996</v>
      </c>
      <c r="C119" s="4">
        <v>1</v>
      </c>
      <c r="D119" s="4">
        <v>390000</v>
      </c>
      <c r="E119" s="4">
        <v>1987</v>
      </c>
      <c r="F119" s="4">
        <v>1</v>
      </c>
      <c r="G119" s="90">
        <v>369000</v>
      </c>
      <c r="H119" s="4">
        <v>1972</v>
      </c>
      <c r="I119" s="4">
        <v>1</v>
      </c>
      <c r="J119" s="4">
        <v>649000</v>
      </c>
      <c r="K119">
        <v>1961</v>
      </c>
      <c r="L119">
        <v>1</v>
      </c>
      <c r="M119">
        <v>1070000</v>
      </c>
      <c r="N119">
        <v>1953</v>
      </c>
      <c r="O119">
        <v>1</v>
      </c>
      <c r="P119">
        <v>849000</v>
      </c>
    </row>
    <row r="120" spans="2:16">
      <c r="B120" s="4">
        <v>1996</v>
      </c>
      <c r="C120" s="4">
        <v>1</v>
      </c>
      <c r="D120" s="4">
        <v>390000</v>
      </c>
      <c r="E120" s="4">
        <v>1987</v>
      </c>
      <c r="F120" s="4">
        <v>1</v>
      </c>
      <c r="G120" s="90">
        <v>369000</v>
      </c>
      <c r="H120" s="4">
        <v>1972</v>
      </c>
      <c r="I120" s="4">
        <v>1</v>
      </c>
      <c r="J120" s="4">
        <v>640000</v>
      </c>
      <c r="K120">
        <v>1961</v>
      </c>
      <c r="L120">
        <v>1</v>
      </c>
      <c r="M120">
        <v>1070000</v>
      </c>
      <c r="N120">
        <v>1953</v>
      </c>
      <c r="O120">
        <v>1</v>
      </c>
      <c r="P120">
        <v>849000</v>
      </c>
    </row>
    <row r="121" spans="2:16">
      <c r="B121" s="4">
        <v>1996</v>
      </c>
      <c r="C121" s="4">
        <v>1</v>
      </c>
      <c r="D121" s="4">
        <v>388000</v>
      </c>
      <c r="E121" s="4">
        <v>1987</v>
      </c>
      <c r="F121" s="4">
        <v>3</v>
      </c>
      <c r="G121" s="90">
        <v>369000</v>
      </c>
      <c r="H121" s="4">
        <v>1972</v>
      </c>
      <c r="I121" s="4">
        <v>1</v>
      </c>
      <c r="J121" s="4">
        <v>640000</v>
      </c>
      <c r="K121">
        <v>1961</v>
      </c>
      <c r="L121">
        <v>1</v>
      </c>
      <c r="M121">
        <v>1070000</v>
      </c>
      <c r="N121">
        <v>1953</v>
      </c>
      <c r="O121">
        <v>1</v>
      </c>
      <c r="P121">
        <v>849000</v>
      </c>
    </row>
    <row r="122" spans="2:16">
      <c r="B122" s="4">
        <v>1997</v>
      </c>
      <c r="C122" s="4">
        <v>1</v>
      </c>
      <c r="D122" s="4">
        <v>370000</v>
      </c>
      <c r="E122" s="4">
        <v>1987</v>
      </c>
      <c r="F122" s="4">
        <v>1</v>
      </c>
      <c r="G122" s="90">
        <v>352000</v>
      </c>
      <c r="H122" s="4">
        <v>1972</v>
      </c>
      <c r="I122" s="4">
        <v>1</v>
      </c>
      <c r="J122" s="4">
        <v>640000</v>
      </c>
      <c r="K122">
        <v>1961</v>
      </c>
      <c r="L122">
        <v>2</v>
      </c>
      <c r="M122">
        <v>1069000</v>
      </c>
      <c r="N122">
        <v>1953</v>
      </c>
      <c r="O122">
        <v>1</v>
      </c>
      <c r="P122">
        <v>849000</v>
      </c>
    </row>
    <row r="123" spans="2:16">
      <c r="B123" s="4">
        <v>1997</v>
      </c>
      <c r="C123" s="4">
        <v>1</v>
      </c>
      <c r="D123" s="4">
        <v>370000</v>
      </c>
      <c r="E123" s="4">
        <v>1987</v>
      </c>
      <c r="F123" s="4">
        <v>1</v>
      </c>
      <c r="G123" s="90">
        <v>352000</v>
      </c>
      <c r="H123" s="4">
        <v>1972</v>
      </c>
      <c r="I123" s="4">
        <v>2</v>
      </c>
      <c r="J123" s="4">
        <v>629000</v>
      </c>
      <c r="K123">
        <v>1961</v>
      </c>
      <c r="L123">
        <v>1</v>
      </c>
      <c r="M123">
        <v>1069000</v>
      </c>
      <c r="N123">
        <v>1953</v>
      </c>
      <c r="O123">
        <v>1</v>
      </c>
      <c r="P123">
        <v>849000</v>
      </c>
    </row>
    <row r="124" spans="2:16">
      <c r="B124" s="4">
        <v>1997</v>
      </c>
      <c r="C124" s="4">
        <v>1</v>
      </c>
      <c r="D124" s="4">
        <v>369000</v>
      </c>
      <c r="E124" s="4">
        <v>1987</v>
      </c>
      <c r="F124" s="4">
        <v>1</v>
      </c>
      <c r="G124" s="90">
        <v>349000</v>
      </c>
      <c r="H124" s="4">
        <v>1972</v>
      </c>
      <c r="I124" s="4">
        <v>11</v>
      </c>
      <c r="J124" s="4">
        <v>599000</v>
      </c>
      <c r="K124">
        <v>1961</v>
      </c>
      <c r="L124">
        <v>1</v>
      </c>
      <c r="M124">
        <v>1069000</v>
      </c>
      <c r="N124">
        <v>1953</v>
      </c>
      <c r="O124">
        <v>1</v>
      </c>
      <c r="P124">
        <v>839000</v>
      </c>
    </row>
    <row r="125" spans="2:16">
      <c r="B125" s="4">
        <v>1997</v>
      </c>
      <c r="C125" s="4">
        <v>1</v>
      </c>
      <c r="D125" s="4">
        <v>369000</v>
      </c>
      <c r="E125" s="4">
        <v>1987</v>
      </c>
      <c r="F125" s="4">
        <v>1</v>
      </c>
      <c r="G125" s="90">
        <v>349000</v>
      </c>
      <c r="H125" s="4">
        <v>1972</v>
      </c>
      <c r="I125" s="4">
        <v>10</v>
      </c>
      <c r="J125" s="4">
        <v>599000</v>
      </c>
      <c r="K125">
        <v>1961</v>
      </c>
      <c r="L125">
        <v>1</v>
      </c>
      <c r="M125">
        <v>1059000</v>
      </c>
      <c r="N125">
        <v>1953</v>
      </c>
      <c r="O125">
        <v>1</v>
      </c>
      <c r="P125">
        <v>839000</v>
      </c>
    </row>
    <row r="126" spans="2:16">
      <c r="B126" s="4">
        <v>1997</v>
      </c>
      <c r="C126" s="4">
        <v>1</v>
      </c>
      <c r="D126" s="4">
        <v>369000</v>
      </c>
      <c r="E126" s="4">
        <v>1987</v>
      </c>
      <c r="F126" s="4">
        <v>1</v>
      </c>
      <c r="G126" s="90">
        <v>349000</v>
      </c>
      <c r="H126" s="4">
        <v>1972</v>
      </c>
      <c r="I126" s="4">
        <v>9</v>
      </c>
      <c r="J126" s="4">
        <v>599000</v>
      </c>
      <c r="K126">
        <v>1961</v>
      </c>
      <c r="L126">
        <v>2</v>
      </c>
      <c r="M126">
        <v>1049000</v>
      </c>
      <c r="N126">
        <v>1953</v>
      </c>
      <c r="O126">
        <v>1</v>
      </c>
      <c r="P126">
        <v>839000</v>
      </c>
    </row>
    <row r="127" spans="2:16">
      <c r="B127" s="4">
        <v>1997</v>
      </c>
      <c r="C127" s="4">
        <v>1</v>
      </c>
      <c r="D127" s="4">
        <v>349000</v>
      </c>
      <c r="E127" s="4">
        <v>1987</v>
      </c>
      <c r="F127" s="4">
        <v>2</v>
      </c>
      <c r="G127" s="90">
        <v>349000</v>
      </c>
      <c r="H127" s="4">
        <v>1972</v>
      </c>
      <c r="I127" s="4">
        <v>6</v>
      </c>
      <c r="J127" s="4">
        <v>599000</v>
      </c>
      <c r="K127">
        <v>1961</v>
      </c>
      <c r="L127">
        <v>2</v>
      </c>
      <c r="M127">
        <v>1049000</v>
      </c>
      <c r="N127">
        <v>1953</v>
      </c>
      <c r="O127">
        <v>1</v>
      </c>
      <c r="P127">
        <v>839000</v>
      </c>
    </row>
    <row r="128" spans="2:16">
      <c r="B128" s="4">
        <v>1997</v>
      </c>
      <c r="C128" s="4">
        <v>2</v>
      </c>
      <c r="D128" s="4">
        <v>349000</v>
      </c>
      <c r="E128" s="4">
        <v>1987</v>
      </c>
      <c r="F128" s="4">
        <v>2</v>
      </c>
      <c r="G128" s="90">
        <v>349000</v>
      </c>
      <c r="H128" s="4">
        <v>1972</v>
      </c>
      <c r="I128" s="4">
        <v>5</v>
      </c>
      <c r="J128" s="4">
        <v>599000</v>
      </c>
      <c r="K128">
        <v>1961</v>
      </c>
      <c r="L128">
        <v>1</v>
      </c>
      <c r="M128">
        <v>1049000</v>
      </c>
      <c r="N128">
        <v>1953</v>
      </c>
      <c r="O128">
        <v>7</v>
      </c>
      <c r="P128">
        <v>820000</v>
      </c>
    </row>
    <row r="129" spans="2:16">
      <c r="B129" s="4">
        <v>1997</v>
      </c>
      <c r="C129" s="4">
        <v>1</v>
      </c>
      <c r="D129" s="4">
        <v>349000</v>
      </c>
      <c r="E129" s="4">
        <v>1987</v>
      </c>
      <c r="F129" s="4">
        <v>2</v>
      </c>
      <c r="G129" s="90">
        <v>349000</v>
      </c>
      <c r="H129" s="4">
        <v>1972</v>
      </c>
      <c r="I129" s="4">
        <v>4</v>
      </c>
      <c r="J129" s="4">
        <v>599000</v>
      </c>
      <c r="K129">
        <v>1961</v>
      </c>
      <c r="L129">
        <v>1</v>
      </c>
      <c r="M129">
        <v>1049000</v>
      </c>
      <c r="N129">
        <v>1953</v>
      </c>
      <c r="O129">
        <v>4</v>
      </c>
      <c r="P129">
        <v>820000</v>
      </c>
    </row>
    <row r="130" spans="2:16">
      <c r="B130" s="4">
        <v>1997</v>
      </c>
      <c r="C130" s="4">
        <v>1</v>
      </c>
      <c r="D130" s="4">
        <v>308262</v>
      </c>
      <c r="E130" s="4">
        <v>1987</v>
      </c>
      <c r="F130" s="4">
        <v>2</v>
      </c>
      <c r="G130" s="90">
        <v>349000</v>
      </c>
      <c r="H130" s="4">
        <v>1972</v>
      </c>
      <c r="I130" s="4">
        <v>3</v>
      </c>
      <c r="J130" s="4">
        <v>599000</v>
      </c>
      <c r="K130">
        <v>1961</v>
      </c>
      <c r="L130">
        <v>2</v>
      </c>
      <c r="M130">
        <v>1030000</v>
      </c>
      <c r="N130">
        <v>1953</v>
      </c>
      <c r="O130">
        <v>3</v>
      </c>
      <c r="P130">
        <v>820000</v>
      </c>
    </row>
    <row r="131" spans="2:16">
      <c r="B131" s="4">
        <v>1997</v>
      </c>
      <c r="C131" s="4">
        <v>1</v>
      </c>
      <c r="D131" s="4">
        <v>300000</v>
      </c>
      <c r="E131" s="4">
        <v>1987</v>
      </c>
      <c r="F131" s="4">
        <v>1</v>
      </c>
      <c r="G131" s="90">
        <v>299000</v>
      </c>
      <c r="H131" s="4">
        <v>1973</v>
      </c>
      <c r="I131" s="4">
        <v>2</v>
      </c>
      <c r="J131" s="4">
        <v>599000</v>
      </c>
      <c r="K131">
        <v>1961</v>
      </c>
      <c r="L131">
        <v>1</v>
      </c>
      <c r="M131">
        <v>1030000</v>
      </c>
      <c r="N131">
        <v>1953</v>
      </c>
      <c r="O131">
        <v>1</v>
      </c>
      <c r="P131">
        <v>820000</v>
      </c>
    </row>
    <row r="132" spans="2:16">
      <c r="B132" s="4">
        <v>1997</v>
      </c>
      <c r="C132" s="4">
        <v>1</v>
      </c>
      <c r="D132" s="4">
        <v>300000</v>
      </c>
      <c r="H132" s="4">
        <v>1973</v>
      </c>
      <c r="I132" s="4">
        <v>1</v>
      </c>
      <c r="J132" s="4">
        <v>599000</v>
      </c>
      <c r="K132">
        <v>1961</v>
      </c>
      <c r="L132">
        <v>2</v>
      </c>
      <c r="M132">
        <v>1029000</v>
      </c>
      <c r="N132">
        <v>1953</v>
      </c>
      <c r="O132">
        <v>2</v>
      </c>
      <c r="P132">
        <v>812000</v>
      </c>
    </row>
    <row r="133" spans="2:16">
      <c r="B133" s="4">
        <v>1997</v>
      </c>
      <c r="C133" s="4">
        <v>1</v>
      </c>
      <c r="D133" s="4">
        <v>299000</v>
      </c>
      <c r="H133" s="4">
        <v>1973</v>
      </c>
      <c r="I133" s="4">
        <v>1</v>
      </c>
      <c r="J133" s="4">
        <v>579000</v>
      </c>
      <c r="K133">
        <v>1961</v>
      </c>
      <c r="L133">
        <v>1</v>
      </c>
      <c r="M133">
        <v>1029000</v>
      </c>
      <c r="N133">
        <v>1953</v>
      </c>
      <c r="O133">
        <v>1</v>
      </c>
      <c r="P133">
        <v>812000</v>
      </c>
    </row>
    <row r="134" spans="2:16">
      <c r="B134" s="4">
        <v>1997</v>
      </c>
      <c r="C134" s="4">
        <v>1</v>
      </c>
      <c r="D134" s="4">
        <v>274900</v>
      </c>
      <c r="H134" s="4">
        <v>1973</v>
      </c>
      <c r="I134" s="4">
        <v>2</v>
      </c>
      <c r="J134" s="4">
        <v>578000</v>
      </c>
      <c r="K134">
        <v>1961</v>
      </c>
      <c r="L134">
        <v>1</v>
      </c>
      <c r="M134">
        <v>1029000</v>
      </c>
      <c r="N134">
        <v>1953</v>
      </c>
      <c r="O134">
        <v>1</v>
      </c>
      <c r="P134">
        <v>812000</v>
      </c>
    </row>
    <row r="135" spans="2:16">
      <c r="B135" s="4">
        <v>1997</v>
      </c>
      <c r="C135" s="4">
        <v>2</v>
      </c>
      <c r="D135" s="4">
        <v>230000</v>
      </c>
      <c r="H135" s="4">
        <v>1973</v>
      </c>
      <c r="I135" s="4">
        <v>2</v>
      </c>
      <c r="J135" s="4">
        <v>549000</v>
      </c>
      <c r="K135">
        <v>1961</v>
      </c>
      <c r="L135">
        <v>2</v>
      </c>
      <c r="M135">
        <v>1019000</v>
      </c>
      <c r="N135">
        <v>1953</v>
      </c>
      <c r="O135">
        <v>17</v>
      </c>
      <c r="P135">
        <v>799000</v>
      </c>
    </row>
    <row r="136" spans="2:16">
      <c r="H136" s="4">
        <v>1973</v>
      </c>
      <c r="I136" s="4">
        <v>2</v>
      </c>
      <c r="J136" s="4">
        <v>549000</v>
      </c>
      <c r="K136">
        <v>1961</v>
      </c>
      <c r="L136">
        <v>1</v>
      </c>
      <c r="M136">
        <v>1019000</v>
      </c>
      <c r="N136">
        <v>1953</v>
      </c>
      <c r="O136">
        <v>10</v>
      </c>
      <c r="P136">
        <v>799000</v>
      </c>
    </row>
    <row r="137" spans="2:16">
      <c r="H137" s="4">
        <v>1973</v>
      </c>
      <c r="I137" s="4">
        <v>1</v>
      </c>
      <c r="J137" s="4">
        <v>549000</v>
      </c>
      <c r="K137">
        <v>1961</v>
      </c>
      <c r="L137">
        <v>1</v>
      </c>
      <c r="M137">
        <v>1019000</v>
      </c>
      <c r="N137">
        <v>1953</v>
      </c>
      <c r="O137">
        <v>10</v>
      </c>
      <c r="P137">
        <v>799000</v>
      </c>
    </row>
    <row r="138" spans="2:16">
      <c r="H138" s="4">
        <v>1973</v>
      </c>
      <c r="I138" s="4">
        <v>1</v>
      </c>
      <c r="J138" s="4">
        <v>549000</v>
      </c>
      <c r="K138">
        <v>1961</v>
      </c>
      <c r="L138">
        <v>1</v>
      </c>
      <c r="M138">
        <v>1019000</v>
      </c>
      <c r="N138">
        <v>1953</v>
      </c>
      <c r="O138">
        <v>6</v>
      </c>
      <c r="P138">
        <v>799000</v>
      </c>
    </row>
    <row r="139" spans="2:16">
      <c r="H139" s="4">
        <v>1973</v>
      </c>
      <c r="I139" s="4">
        <v>1</v>
      </c>
      <c r="J139" s="4">
        <v>538000</v>
      </c>
      <c r="K139">
        <v>1961</v>
      </c>
      <c r="L139">
        <v>1</v>
      </c>
      <c r="M139">
        <v>1019000</v>
      </c>
      <c r="N139">
        <v>1953</v>
      </c>
      <c r="O139">
        <v>6</v>
      </c>
      <c r="P139">
        <v>799000</v>
      </c>
    </row>
    <row r="140" spans="2:16">
      <c r="H140" s="4">
        <v>1973</v>
      </c>
      <c r="I140" s="4">
        <v>1</v>
      </c>
      <c r="J140" s="4">
        <v>532000</v>
      </c>
      <c r="K140">
        <v>1961</v>
      </c>
      <c r="L140">
        <v>5</v>
      </c>
      <c r="M140">
        <v>999000</v>
      </c>
      <c r="N140">
        <v>1953</v>
      </c>
      <c r="O140">
        <v>5</v>
      </c>
      <c r="P140">
        <v>799000</v>
      </c>
    </row>
    <row r="141" spans="2:16">
      <c r="H141" s="4">
        <v>1973</v>
      </c>
      <c r="I141" s="4">
        <v>2</v>
      </c>
      <c r="J141" s="4">
        <v>529000</v>
      </c>
      <c r="K141">
        <v>1961</v>
      </c>
      <c r="L141">
        <v>3</v>
      </c>
      <c r="M141">
        <v>999000</v>
      </c>
      <c r="N141">
        <v>1953</v>
      </c>
      <c r="O141">
        <v>4</v>
      </c>
      <c r="P141">
        <v>799000</v>
      </c>
    </row>
    <row r="142" spans="2:16">
      <c r="H142" s="4">
        <v>1973</v>
      </c>
      <c r="I142" s="4">
        <v>1</v>
      </c>
      <c r="J142" s="4">
        <v>529000</v>
      </c>
      <c r="K142">
        <v>1961</v>
      </c>
      <c r="L142">
        <v>3</v>
      </c>
      <c r="M142">
        <v>999000</v>
      </c>
      <c r="N142">
        <v>1953</v>
      </c>
      <c r="O142">
        <v>4</v>
      </c>
      <c r="P142">
        <v>799000</v>
      </c>
    </row>
    <row r="143" spans="2:16">
      <c r="H143" s="4">
        <v>1973</v>
      </c>
      <c r="I143" s="4">
        <v>1</v>
      </c>
      <c r="J143" s="4">
        <v>529000</v>
      </c>
      <c r="K143">
        <v>1961</v>
      </c>
      <c r="L143">
        <v>3</v>
      </c>
      <c r="M143">
        <v>999000</v>
      </c>
      <c r="N143">
        <v>1953</v>
      </c>
      <c r="O143">
        <v>3</v>
      </c>
      <c r="P143">
        <v>799000</v>
      </c>
    </row>
    <row r="144" spans="2:16">
      <c r="H144" s="4">
        <v>1973</v>
      </c>
      <c r="I144" s="4">
        <v>1</v>
      </c>
      <c r="J144" s="4">
        <v>529000</v>
      </c>
      <c r="K144">
        <v>1961</v>
      </c>
      <c r="L144">
        <v>2</v>
      </c>
      <c r="M144">
        <v>999000</v>
      </c>
      <c r="N144">
        <v>1953</v>
      </c>
      <c r="O144">
        <v>1</v>
      </c>
      <c r="P144">
        <v>788000</v>
      </c>
    </row>
    <row r="145" spans="8:16">
      <c r="H145" s="4">
        <v>1973</v>
      </c>
      <c r="I145" s="4">
        <v>1</v>
      </c>
      <c r="J145" s="4">
        <v>529000</v>
      </c>
      <c r="K145">
        <v>1961</v>
      </c>
      <c r="L145">
        <v>2</v>
      </c>
      <c r="M145">
        <v>999000</v>
      </c>
      <c r="N145">
        <v>1953</v>
      </c>
      <c r="O145">
        <v>1</v>
      </c>
      <c r="P145">
        <v>788000</v>
      </c>
    </row>
    <row r="146" spans="8:16">
      <c r="H146" s="4">
        <v>1973</v>
      </c>
      <c r="I146" s="4">
        <v>1</v>
      </c>
      <c r="J146" s="4">
        <v>500000</v>
      </c>
      <c r="K146">
        <v>1961</v>
      </c>
      <c r="L146">
        <v>2</v>
      </c>
      <c r="M146">
        <v>999000</v>
      </c>
      <c r="N146">
        <v>1953</v>
      </c>
      <c r="O146">
        <v>5</v>
      </c>
      <c r="P146">
        <v>749000</v>
      </c>
    </row>
    <row r="147" spans="8:16">
      <c r="H147" s="4">
        <v>1973</v>
      </c>
      <c r="I147" s="4">
        <v>16</v>
      </c>
      <c r="J147" s="4">
        <v>499000</v>
      </c>
      <c r="K147">
        <v>1961</v>
      </c>
      <c r="L147">
        <v>1</v>
      </c>
      <c r="M147">
        <v>999000</v>
      </c>
      <c r="N147">
        <v>1953</v>
      </c>
      <c r="O147">
        <v>4</v>
      </c>
      <c r="P147">
        <v>749000</v>
      </c>
    </row>
    <row r="148" spans="8:16">
      <c r="H148" s="4">
        <v>1973</v>
      </c>
      <c r="I148" s="4">
        <v>14</v>
      </c>
      <c r="J148" s="4">
        <v>499000</v>
      </c>
      <c r="K148">
        <v>1961</v>
      </c>
      <c r="L148">
        <v>6</v>
      </c>
      <c r="M148">
        <v>995000</v>
      </c>
      <c r="N148">
        <v>1953</v>
      </c>
      <c r="O148">
        <v>2</v>
      </c>
      <c r="P148">
        <v>749000</v>
      </c>
    </row>
    <row r="149" spans="8:16">
      <c r="H149" s="4">
        <v>1973</v>
      </c>
      <c r="I149" s="4">
        <v>10</v>
      </c>
      <c r="J149" s="4">
        <v>499000</v>
      </c>
      <c r="K149">
        <v>1961</v>
      </c>
      <c r="L149">
        <v>2</v>
      </c>
      <c r="M149">
        <v>995000</v>
      </c>
      <c r="N149">
        <v>1953</v>
      </c>
      <c r="O149">
        <v>2</v>
      </c>
      <c r="P149">
        <v>749000</v>
      </c>
    </row>
    <row r="150" spans="8:16">
      <c r="H150" s="4">
        <v>1973</v>
      </c>
      <c r="I150" s="4">
        <v>10</v>
      </c>
      <c r="J150" s="4">
        <v>499000</v>
      </c>
      <c r="K150">
        <v>1961</v>
      </c>
      <c r="L150">
        <v>1</v>
      </c>
      <c r="M150">
        <v>995000</v>
      </c>
      <c r="N150">
        <v>1953</v>
      </c>
      <c r="O150">
        <v>2</v>
      </c>
      <c r="P150">
        <v>749000</v>
      </c>
    </row>
    <row r="151" spans="8:16">
      <c r="H151" s="4">
        <v>1973</v>
      </c>
      <c r="I151" s="4">
        <v>4</v>
      </c>
      <c r="J151" s="4">
        <v>499000</v>
      </c>
      <c r="K151">
        <v>1961</v>
      </c>
      <c r="L151">
        <v>1</v>
      </c>
      <c r="M151">
        <v>995000</v>
      </c>
      <c r="N151">
        <v>1953</v>
      </c>
      <c r="O151">
        <v>1</v>
      </c>
      <c r="P151">
        <v>749000</v>
      </c>
    </row>
    <row r="152" spans="8:16">
      <c r="H152" s="4">
        <v>1973</v>
      </c>
      <c r="I152" s="4">
        <v>4</v>
      </c>
      <c r="J152" s="4">
        <v>499000</v>
      </c>
      <c r="K152">
        <v>1961</v>
      </c>
      <c r="L152">
        <v>1</v>
      </c>
      <c r="M152">
        <v>995000</v>
      </c>
      <c r="N152">
        <v>1953</v>
      </c>
      <c r="O152">
        <v>1</v>
      </c>
      <c r="P152">
        <v>749000</v>
      </c>
    </row>
    <row r="153" spans="8:16">
      <c r="H153" s="4">
        <v>1974</v>
      </c>
      <c r="I153" s="4">
        <v>4</v>
      </c>
      <c r="J153" s="4">
        <v>499000</v>
      </c>
      <c r="K153">
        <v>1962</v>
      </c>
      <c r="L153">
        <v>1</v>
      </c>
      <c r="M153">
        <v>969000</v>
      </c>
      <c r="N153">
        <v>1953</v>
      </c>
      <c r="O153">
        <v>2</v>
      </c>
      <c r="P153">
        <v>729000</v>
      </c>
    </row>
    <row r="154" spans="8:16">
      <c r="H154" s="4">
        <v>1974</v>
      </c>
      <c r="I154" s="4">
        <v>2</v>
      </c>
      <c r="J154" s="4">
        <v>499000</v>
      </c>
      <c r="K154">
        <v>1962</v>
      </c>
      <c r="L154">
        <v>1</v>
      </c>
      <c r="M154">
        <v>960000</v>
      </c>
      <c r="N154">
        <v>1953</v>
      </c>
      <c r="O154">
        <v>2</v>
      </c>
      <c r="P154">
        <v>729000</v>
      </c>
    </row>
    <row r="155" spans="8:16">
      <c r="H155" s="4">
        <v>1974</v>
      </c>
      <c r="I155" s="4">
        <v>1</v>
      </c>
      <c r="J155" s="4">
        <v>488000</v>
      </c>
      <c r="K155">
        <v>1962</v>
      </c>
      <c r="L155">
        <v>2</v>
      </c>
      <c r="M155">
        <v>950000</v>
      </c>
      <c r="N155">
        <v>1954</v>
      </c>
      <c r="O155">
        <v>1</v>
      </c>
      <c r="P155">
        <v>729000</v>
      </c>
    </row>
    <row r="156" spans="8:16">
      <c r="H156" s="4">
        <v>1974</v>
      </c>
      <c r="I156" s="4">
        <v>2</v>
      </c>
      <c r="J156" s="4">
        <v>469000</v>
      </c>
      <c r="K156">
        <v>1962</v>
      </c>
      <c r="L156">
        <v>1</v>
      </c>
      <c r="M156">
        <v>950000</v>
      </c>
      <c r="N156">
        <v>1954</v>
      </c>
      <c r="O156">
        <v>1</v>
      </c>
      <c r="P156">
        <v>729000</v>
      </c>
    </row>
    <row r="157" spans="8:16">
      <c r="H157" s="4">
        <v>1974</v>
      </c>
      <c r="I157" s="4">
        <v>1</v>
      </c>
      <c r="J157" s="4">
        <v>469000</v>
      </c>
      <c r="K157">
        <v>1962</v>
      </c>
      <c r="L157">
        <v>1</v>
      </c>
      <c r="M157">
        <v>950000</v>
      </c>
      <c r="N157">
        <v>1954</v>
      </c>
      <c r="O157">
        <v>1</v>
      </c>
      <c r="P157">
        <v>700000</v>
      </c>
    </row>
    <row r="158" spans="8:16">
      <c r="H158" s="4">
        <v>1974</v>
      </c>
      <c r="I158" s="4">
        <v>1</v>
      </c>
      <c r="J158" s="4">
        <v>469000</v>
      </c>
      <c r="K158">
        <v>1962</v>
      </c>
      <c r="L158">
        <v>1</v>
      </c>
      <c r="M158">
        <v>950000</v>
      </c>
      <c r="N158">
        <v>1954</v>
      </c>
      <c r="O158">
        <v>46</v>
      </c>
      <c r="P158">
        <v>699000</v>
      </c>
    </row>
    <row r="159" spans="8:16">
      <c r="H159" s="4">
        <v>1974</v>
      </c>
      <c r="I159" s="4">
        <v>1</v>
      </c>
      <c r="J159" s="4">
        <v>469000</v>
      </c>
      <c r="K159">
        <v>1962</v>
      </c>
      <c r="L159">
        <v>1</v>
      </c>
      <c r="M159">
        <v>950000</v>
      </c>
      <c r="N159">
        <v>1954</v>
      </c>
      <c r="O159">
        <v>46</v>
      </c>
      <c r="P159">
        <v>699000</v>
      </c>
    </row>
    <row r="160" spans="8:16">
      <c r="H160" s="4">
        <v>1974</v>
      </c>
      <c r="I160" s="4">
        <v>1</v>
      </c>
      <c r="J160" s="4">
        <v>469000</v>
      </c>
      <c r="K160">
        <v>1962</v>
      </c>
      <c r="L160">
        <v>1</v>
      </c>
      <c r="M160">
        <v>950000</v>
      </c>
      <c r="N160">
        <v>1954</v>
      </c>
      <c r="O160">
        <v>46</v>
      </c>
      <c r="P160">
        <v>699000</v>
      </c>
    </row>
    <row r="161" spans="8:16">
      <c r="H161" s="4">
        <v>1974</v>
      </c>
      <c r="I161" s="4">
        <v>1</v>
      </c>
      <c r="J161" s="4">
        <v>469000</v>
      </c>
      <c r="K161">
        <v>1962</v>
      </c>
      <c r="L161">
        <v>8</v>
      </c>
      <c r="M161">
        <v>949000</v>
      </c>
      <c r="N161">
        <v>1954</v>
      </c>
      <c r="O161">
        <v>35</v>
      </c>
      <c r="P161">
        <v>699000</v>
      </c>
    </row>
    <row r="162" spans="8:16">
      <c r="H162" s="4">
        <v>1974</v>
      </c>
      <c r="I162" s="4">
        <v>1</v>
      </c>
      <c r="J162" s="4">
        <v>469000</v>
      </c>
      <c r="K162">
        <v>1962</v>
      </c>
      <c r="L162">
        <v>5</v>
      </c>
      <c r="M162">
        <v>949000</v>
      </c>
      <c r="N162">
        <v>1954</v>
      </c>
      <c r="O162">
        <v>29</v>
      </c>
      <c r="P162">
        <v>699000</v>
      </c>
    </row>
    <row r="163" spans="8:16">
      <c r="H163" s="4">
        <v>1974</v>
      </c>
      <c r="I163" s="4">
        <v>1</v>
      </c>
      <c r="J163" s="4">
        <v>469000</v>
      </c>
      <c r="K163">
        <v>1962</v>
      </c>
      <c r="L163">
        <v>5</v>
      </c>
      <c r="M163">
        <v>949000</v>
      </c>
      <c r="N163">
        <v>1954</v>
      </c>
      <c r="O163">
        <v>28</v>
      </c>
      <c r="P163">
        <v>699000</v>
      </c>
    </row>
    <row r="164" spans="8:16">
      <c r="H164" s="4">
        <v>1974</v>
      </c>
      <c r="I164" s="4">
        <v>9</v>
      </c>
      <c r="J164" s="4">
        <v>449000</v>
      </c>
      <c r="K164">
        <v>1962</v>
      </c>
      <c r="L164">
        <v>4</v>
      </c>
      <c r="M164">
        <v>949000</v>
      </c>
      <c r="N164">
        <v>1954</v>
      </c>
      <c r="O164">
        <v>23</v>
      </c>
      <c r="P164">
        <v>699000</v>
      </c>
    </row>
    <row r="165" spans="8:16">
      <c r="H165" s="4">
        <v>1974</v>
      </c>
      <c r="I165" s="4">
        <v>9</v>
      </c>
      <c r="J165" s="4">
        <v>449000</v>
      </c>
      <c r="K165">
        <v>1962</v>
      </c>
      <c r="L165">
        <v>4</v>
      </c>
      <c r="M165">
        <v>949000</v>
      </c>
      <c r="N165">
        <v>1954</v>
      </c>
      <c r="O165">
        <v>19</v>
      </c>
      <c r="P165">
        <v>699000</v>
      </c>
    </row>
    <row r="166" spans="8:16">
      <c r="H166" s="4">
        <v>1974</v>
      </c>
      <c r="I166" s="4">
        <v>8</v>
      </c>
      <c r="J166" s="4">
        <v>449000</v>
      </c>
      <c r="K166">
        <v>1962</v>
      </c>
      <c r="L166">
        <v>4</v>
      </c>
      <c r="M166">
        <v>949000</v>
      </c>
      <c r="N166">
        <v>1954</v>
      </c>
      <c r="O166">
        <v>19</v>
      </c>
      <c r="P166">
        <v>699000</v>
      </c>
    </row>
    <row r="167" spans="8:16">
      <c r="H167" s="4">
        <v>1974</v>
      </c>
      <c r="I167" s="4">
        <v>8</v>
      </c>
      <c r="J167" s="4">
        <v>449000</v>
      </c>
      <c r="K167">
        <v>1962</v>
      </c>
      <c r="L167">
        <v>2</v>
      </c>
      <c r="M167">
        <v>949000</v>
      </c>
      <c r="N167">
        <v>1954</v>
      </c>
      <c r="O167">
        <v>1</v>
      </c>
      <c r="P167">
        <v>690000</v>
      </c>
    </row>
    <row r="168" spans="8:16">
      <c r="H168" s="4">
        <v>1974</v>
      </c>
      <c r="I168" s="4">
        <v>7</v>
      </c>
      <c r="J168" s="4">
        <v>449000</v>
      </c>
      <c r="K168">
        <v>1962</v>
      </c>
      <c r="L168">
        <v>1</v>
      </c>
      <c r="M168">
        <v>949000</v>
      </c>
      <c r="N168">
        <v>1954</v>
      </c>
      <c r="O168">
        <v>1</v>
      </c>
      <c r="P168">
        <v>690000</v>
      </c>
    </row>
    <row r="169" spans="8:16">
      <c r="H169" s="4">
        <v>1974</v>
      </c>
      <c r="I169" s="4">
        <v>7</v>
      </c>
      <c r="J169" s="4">
        <v>449000</v>
      </c>
      <c r="K169">
        <v>1962</v>
      </c>
      <c r="L169">
        <v>1</v>
      </c>
      <c r="M169">
        <v>949000</v>
      </c>
      <c r="N169">
        <v>1954</v>
      </c>
      <c r="O169">
        <v>1</v>
      </c>
      <c r="P169">
        <v>690000</v>
      </c>
    </row>
    <row r="170" spans="8:16">
      <c r="H170" s="4">
        <v>1975</v>
      </c>
      <c r="I170" s="4">
        <v>6</v>
      </c>
      <c r="J170" s="4">
        <v>449000</v>
      </c>
      <c r="K170">
        <v>1962</v>
      </c>
      <c r="L170">
        <v>2</v>
      </c>
      <c r="M170">
        <v>929000</v>
      </c>
      <c r="N170">
        <v>1954</v>
      </c>
      <c r="O170">
        <v>3</v>
      </c>
      <c r="P170">
        <v>679000</v>
      </c>
    </row>
    <row r="171" spans="8:16">
      <c r="H171" s="4">
        <v>1975</v>
      </c>
      <c r="I171" s="4">
        <v>5</v>
      </c>
      <c r="J171" s="4">
        <v>449000</v>
      </c>
      <c r="K171">
        <v>1962</v>
      </c>
      <c r="L171">
        <v>2</v>
      </c>
      <c r="M171">
        <v>929000</v>
      </c>
      <c r="N171">
        <v>1954</v>
      </c>
      <c r="O171">
        <v>2</v>
      </c>
      <c r="P171">
        <v>679000</v>
      </c>
    </row>
    <row r="172" spans="8:16">
      <c r="H172" s="4">
        <v>1975</v>
      </c>
      <c r="I172" s="4">
        <v>3</v>
      </c>
      <c r="J172" s="4">
        <v>449000</v>
      </c>
      <c r="K172">
        <v>1962</v>
      </c>
      <c r="L172">
        <v>1</v>
      </c>
      <c r="M172">
        <v>929000</v>
      </c>
      <c r="N172">
        <v>1954</v>
      </c>
      <c r="O172">
        <v>1</v>
      </c>
      <c r="P172">
        <v>679000</v>
      </c>
    </row>
    <row r="173" spans="8:16">
      <c r="H173" s="4">
        <v>1975</v>
      </c>
      <c r="I173" s="4">
        <v>2</v>
      </c>
      <c r="J173" s="4">
        <v>439000</v>
      </c>
      <c r="K173">
        <v>1962</v>
      </c>
      <c r="L173">
        <v>1</v>
      </c>
      <c r="M173">
        <v>929000</v>
      </c>
      <c r="N173">
        <v>1954</v>
      </c>
      <c r="O173">
        <v>1</v>
      </c>
      <c r="P173">
        <v>670000</v>
      </c>
    </row>
    <row r="174" spans="8:16">
      <c r="H174" s="4">
        <v>1975</v>
      </c>
      <c r="I174" s="4">
        <v>1</v>
      </c>
      <c r="J174" s="4">
        <v>429000</v>
      </c>
      <c r="K174">
        <v>1962</v>
      </c>
      <c r="L174">
        <v>1</v>
      </c>
      <c r="M174">
        <v>929000</v>
      </c>
      <c r="N174">
        <v>1954</v>
      </c>
      <c r="O174">
        <v>2</v>
      </c>
      <c r="P174">
        <v>669000</v>
      </c>
    </row>
    <row r="175" spans="8:16">
      <c r="H175" s="4">
        <v>1975</v>
      </c>
      <c r="I175" s="4">
        <v>1</v>
      </c>
      <c r="J175" s="4">
        <v>429000</v>
      </c>
      <c r="K175">
        <v>1962</v>
      </c>
      <c r="L175">
        <v>3</v>
      </c>
      <c r="M175">
        <v>918000</v>
      </c>
      <c r="N175">
        <v>1954</v>
      </c>
      <c r="O175">
        <v>1</v>
      </c>
      <c r="P175">
        <v>669000</v>
      </c>
    </row>
    <row r="176" spans="8:16">
      <c r="H176" s="4">
        <v>1975</v>
      </c>
      <c r="I176" s="4">
        <v>1</v>
      </c>
      <c r="J176" s="4">
        <v>420000</v>
      </c>
      <c r="K176">
        <v>1962</v>
      </c>
      <c r="L176">
        <v>1</v>
      </c>
      <c r="M176">
        <v>918000</v>
      </c>
      <c r="N176">
        <v>1954</v>
      </c>
      <c r="O176">
        <v>1</v>
      </c>
      <c r="P176">
        <v>669000</v>
      </c>
    </row>
    <row r="177" spans="8:16">
      <c r="H177" s="4">
        <v>1975</v>
      </c>
      <c r="I177" s="4">
        <v>1</v>
      </c>
      <c r="J177" s="4">
        <v>420000</v>
      </c>
      <c r="K177">
        <v>1962</v>
      </c>
      <c r="L177">
        <v>1</v>
      </c>
      <c r="M177">
        <v>918000</v>
      </c>
      <c r="N177">
        <v>1954</v>
      </c>
      <c r="O177">
        <v>1</v>
      </c>
      <c r="P177">
        <v>669000</v>
      </c>
    </row>
    <row r="178" spans="8:16">
      <c r="H178" s="4">
        <v>1975</v>
      </c>
      <c r="I178" s="4">
        <v>1</v>
      </c>
      <c r="J178" s="4">
        <v>412000</v>
      </c>
      <c r="K178">
        <v>1962</v>
      </c>
      <c r="L178">
        <v>4</v>
      </c>
      <c r="M178">
        <v>910000</v>
      </c>
      <c r="N178">
        <v>1954</v>
      </c>
      <c r="O178">
        <v>7</v>
      </c>
      <c r="P178">
        <v>649000</v>
      </c>
    </row>
    <row r="179" spans="8:16">
      <c r="H179" s="4">
        <v>1975</v>
      </c>
      <c r="I179" s="4">
        <v>1</v>
      </c>
      <c r="J179" s="4">
        <v>408000</v>
      </c>
      <c r="K179">
        <v>1962</v>
      </c>
      <c r="L179">
        <v>2</v>
      </c>
      <c r="M179">
        <v>910000</v>
      </c>
      <c r="N179">
        <v>1954</v>
      </c>
      <c r="O179">
        <v>6</v>
      </c>
      <c r="P179">
        <v>649000</v>
      </c>
    </row>
    <row r="180" spans="8:16">
      <c r="H180" s="4">
        <v>1975</v>
      </c>
      <c r="I180" s="4">
        <v>2</v>
      </c>
      <c r="J180" s="4">
        <v>400000</v>
      </c>
      <c r="K180">
        <v>1962</v>
      </c>
      <c r="L180">
        <v>1</v>
      </c>
      <c r="M180">
        <v>900000</v>
      </c>
      <c r="N180">
        <v>1954</v>
      </c>
      <c r="O180">
        <v>3</v>
      </c>
      <c r="P180">
        <v>649000</v>
      </c>
    </row>
    <row r="181" spans="8:16">
      <c r="H181" s="4">
        <v>1975</v>
      </c>
      <c r="I181" s="4">
        <v>1</v>
      </c>
      <c r="J181" s="4">
        <v>400000</v>
      </c>
      <c r="K181">
        <v>1962</v>
      </c>
      <c r="L181">
        <v>19</v>
      </c>
      <c r="M181">
        <v>899000</v>
      </c>
      <c r="N181">
        <v>1954</v>
      </c>
      <c r="O181">
        <v>3</v>
      </c>
      <c r="P181">
        <v>649000</v>
      </c>
    </row>
    <row r="182" spans="8:16">
      <c r="H182" s="4">
        <v>1975</v>
      </c>
      <c r="I182" s="4">
        <v>1</v>
      </c>
      <c r="J182" s="4">
        <v>400000</v>
      </c>
      <c r="K182">
        <v>1962</v>
      </c>
      <c r="L182">
        <v>14</v>
      </c>
      <c r="M182">
        <v>899000</v>
      </c>
      <c r="N182">
        <v>1954</v>
      </c>
      <c r="O182">
        <v>3</v>
      </c>
      <c r="P182">
        <v>649000</v>
      </c>
    </row>
    <row r="183" spans="8:16">
      <c r="H183" s="4">
        <v>1975</v>
      </c>
      <c r="I183" s="4">
        <v>1</v>
      </c>
      <c r="J183" s="4">
        <v>400000</v>
      </c>
      <c r="K183">
        <v>1962</v>
      </c>
      <c r="L183">
        <v>9</v>
      </c>
      <c r="M183">
        <v>899000</v>
      </c>
      <c r="N183">
        <v>1954</v>
      </c>
      <c r="O183">
        <v>3</v>
      </c>
      <c r="P183">
        <v>649000</v>
      </c>
    </row>
    <row r="184" spans="8:16">
      <c r="H184" s="4">
        <v>1975</v>
      </c>
      <c r="I184" s="4">
        <v>1</v>
      </c>
      <c r="J184" s="4">
        <v>400000</v>
      </c>
      <c r="K184">
        <v>1962</v>
      </c>
      <c r="L184">
        <v>8</v>
      </c>
      <c r="M184">
        <v>899000</v>
      </c>
      <c r="N184">
        <v>1954</v>
      </c>
      <c r="O184">
        <v>2</v>
      </c>
      <c r="P184">
        <v>649000</v>
      </c>
    </row>
    <row r="185" spans="8:16">
      <c r="H185" s="4">
        <v>1975</v>
      </c>
      <c r="I185" s="4">
        <v>13</v>
      </c>
      <c r="J185" s="4">
        <v>399000</v>
      </c>
      <c r="K185">
        <v>1962</v>
      </c>
      <c r="L185">
        <v>8</v>
      </c>
      <c r="M185">
        <v>899000</v>
      </c>
      <c r="N185">
        <v>1954</v>
      </c>
      <c r="O185">
        <v>2</v>
      </c>
      <c r="P185">
        <v>649000</v>
      </c>
    </row>
    <row r="186" spans="8:16">
      <c r="H186" s="4">
        <v>1975</v>
      </c>
      <c r="I186" s="4">
        <v>11</v>
      </c>
      <c r="J186" s="4">
        <v>399000</v>
      </c>
      <c r="K186">
        <v>1962</v>
      </c>
      <c r="L186">
        <v>7</v>
      </c>
      <c r="M186">
        <v>899000</v>
      </c>
      <c r="N186">
        <v>1954</v>
      </c>
      <c r="O186">
        <v>2</v>
      </c>
      <c r="P186">
        <v>649000</v>
      </c>
    </row>
    <row r="187" spans="8:16">
      <c r="H187" s="4">
        <v>1975</v>
      </c>
      <c r="I187" s="4">
        <v>9</v>
      </c>
      <c r="J187" s="4">
        <v>399000</v>
      </c>
      <c r="K187">
        <v>1962</v>
      </c>
      <c r="L187">
        <v>7</v>
      </c>
      <c r="M187">
        <v>899000</v>
      </c>
      <c r="N187">
        <v>1954</v>
      </c>
      <c r="O187">
        <v>4</v>
      </c>
      <c r="P187">
        <v>640000</v>
      </c>
    </row>
    <row r="188" spans="8:16">
      <c r="H188" s="4">
        <v>1976</v>
      </c>
      <c r="I188" s="4">
        <v>5</v>
      </c>
      <c r="J188" s="4">
        <v>399000</v>
      </c>
      <c r="K188">
        <v>1962</v>
      </c>
      <c r="L188">
        <v>4</v>
      </c>
      <c r="M188">
        <v>899000</v>
      </c>
      <c r="N188">
        <v>1954</v>
      </c>
      <c r="O188">
        <v>4</v>
      </c>
      <c r="P188">
        <v>640000</v>
      </c>
    </row>
    <row r="189" spans="8:16">
      <c r="H189" s="4">
        <v>1976</v>
      </c>
      <c r="I189" s="4">
        <v>5</v>
      </c>
      <c r="J189" s="4">
        <v>399000</v>
      </c>
      <c r="K189">
        <v>1962</v>
      </c>
      <c r="L189">
        <v>4</v>
      </c>
      <c r="M189">
        <v>899000</v>
      </c>
      <c r="N189">
        <v>1954</v>
      </c>
      <c r="O189">
        <v>2</v>
      </c>
      <c r="P189">
        <v>640000</v>
      </c>
    </row>
    <row r="190" spans="8:16">
      <c r="H190" s="4">
        <v>1976</v>
      </c>
      <c r="I190" s="4">
        <v>4</v>
      </c>
      <c r="J190" s="4">
        <v>399000</v>
      </c>
      <c r="K190">
        <v>1962</v>
      </c>
      <c r="L190">
        <v>4</v>
      </c>
      <c r="M190">
        <v>890000</v>
      </c>
      <c r="N190">
        <v>1954</v>
      </c>
      <c r="O190">
        <v>2</v>
      </c>
      <c r="P190">
        <v>640000</v>
      </c>
    </row>
    <row r="191" spans="8:16">
      <c r="H191" s="4">
        <v>1976</v>
      </c>
      <c r="I191" s="4">
        <v>3</v>
      </c>
      <c r="J191" s="4">
        <v>399000</v>
      </c>
      <c r="K191">
        <v>1962</v>
      </c>
      <c r="L191">
        <v>1</v>
      </c>
      <c r="M191">
        <v>890000</v>
      </c>
      <c r="N191">
        <v>1954</v>
      </c>
      <c r="O191">
        <v>1</v>
      </c>
      <c r="P191">
        <v>640000</v>
      </c>
    </row>
    <row r="192" spans="8:16">
      <c r="H192" s="4">
        <v>1976</v>
      </c>
      <c r="I192" s="4">
        <v>2</v>
      </c>
      <c r="J192" s="4">
        <v>399000</v>
      </c>
      <c r="K192">
        <v>1962</v>
      </c>
      <c r="L192">
        <v>1</v>
      </c>
      <c r="M192">
        <v>890000</v>
      </c>
      <c r="N192">
        <v>1954</v>
      </c>
      <c r="O192">
        <v>1</v>
      </c>
      <c r="P192">
        <v>640000</v>
      </c>
    </row>
    <row r="193" spans="8:16">
      <c r="H193" s="4">
        <v>1976</v>
      </c>
      <c r="I193" s="4">
        <v>2</v>
      </c>
      <c r="J193" s="4">
        <v>399000</v>
      </c>
      <c r="K193">
        <v>1962</v>
      </c>
      <c r="L193">
        <v>1</v>
      </c>
      <c r="M193">
        <v>890000</v>
      </c>
      <c r="N193">
        <v>1954</v>
      </c>
      <c r="O193">
        <v>2</v>
      </c>
      <c r="P193">
        <v>639000</v>
      </c>
    </row>
    <row r="194" spans="8:16">
      <c r="H194" s="4">
        <v>1976</v>
      </c>
      <c r="I194" s="4">
        <v>1</v>
      </c>
      <c r="J194" s="4">
        <v>390000</v>
      </c>
      <c r="K194">
        <v>1962</v>
      </c>
      <c r="L194">
        <v>1</v>
      </c>
      <c r="M194">
        <v>890000</v>
      </c>
      <c r="N194">
        <v>1954</v>
      </c>
      <c r="O194">
        <v>1</v>
      </c>
      <c r="P194">
        <v>639000</v>
      </c>
    </row>
    <row r="195" spans="8:16">
      <c r="H195" s="4">
        <v>1976</v>
      </c>
      <c r="I195" s="4">
        <v>1</v>
      </c>
      <c r="J195" s="4">
        <v>388000</v>
      </c>
      <c r="K195">
        <v>1962</v>
      </c>
      <c r="L195">
        <v>1</v>
      </c>
      <c r="M195">
        <v>889000</v>
      </c>
      <c r="N195">
        <v>1954</v>
      </c>
      <c r="O195">
        <v>1</v>
      </c>
      <c r="P195">
        <v>639000</v>
      </c>
    </row>
    <row r="196" spans="8:16">
      <c r="H196" s="4">
        <v>1976</v>
      </c>
      <c r="I196" s="4">
        <v>1</v>
      </c>
      <c r="J196" s="4">
        <v>388000</v>
      </c>
      <c r="K196">
        <v>1962</v>
      </c>
      <c r="L196">
        <v>1</v>
      </c>
      <c r="M196">
        <v>889000</v>
      </c>
      <c r="N196">
        <v>1954</v>
      </c>
      <c r="O196">
        <v>14</v>
      </c>
      <c r="P196">
        <v>599000</v>
      </c>
    </row>
    <row r="197" spans="8:16">
      <c r="H197" s="4">
        <v>1976</v>
      </c>
      <c r="I197" s="4">
        <v>1</v>
      </c>
      <c r="J197" s="4">
        <v>388000</v>
      </c>
      <c r="K197">
        <v>1962</v>
      </c>
      <c r="L197">
        <v>1</v>
      </c>
      <c r="M197">
        <v>889000</v>
      </c>
      <c r="N197">
        <v>1955</v>
      </c>
      <c r="O197">
        <v>13</v>
      </c>
      <c r="P197">
        <v>599000</v>
      </c>
    </row>
    <row r="198" spans="8:16">
      <c r="H198" s="4">
        <v>1976</v>
      </c>
      <c r="I198" s="4">
        <v>1</v>
      </c>
      <c r="J198" s="4">
        <v>370000</v>
      </c>
      <c r="K198">
        <v>1962</v>
      </c>
      <c r="L198">
        <v>1</v>
      </c>
      <c r="M198">
        <v>889000</v>
      </c>
      <c r="N198">
        <v>1955</v>
      </c>
      <c r="O198">
        <v>12</v>
      </c>
      <c r="P198">
        <v>599000</v>
      </c>
    </row>
    <row r="199" spans="8:16">
      <c r="H199" s="4">
        <v>1976</v>
      </c>
      <c r="I199" s="4">
        <v>1</v>
      </c>
      <c r="J199" s="4">
        <v>370000</v>
      </c>
      <c r="K199">
        <v>1962</v>
      </c>
      <c r="L199">
        <v>1</v>
      </c>
      <c r="M199">
        <v>888000</v>
      </c>
      <c r="N199">
        <v>1955</v>
      </c>
      <c r="O199">
        <v>11</v>
      </c>
      <c r="P199">
        <v>599000</v>
      </c>
    </row>
    <row r="200" spans="8:16">
      <c r="H200" s="4">
        <v>1977</v>
      </c>
      <c r="I200" s="4">
        <v>1</v>
      </c>
      <c r="J200" s="4">
        <v>370000</v>
      </c>
      <c r="K200">
        <v>1962</v>
      </c>
      <c r="L200">
        <v>1</v>
      </c>
      <c r="M200">
        <v>888000</v>
      </c>
      <c r="N200">
        <v>1955</v>
      </c>
      <c r="O200">
        <v>8</v>
      </c>
      <c r="P200">
        <v>599000</v>
      </c>
    </row>
    <row r="201" spans="8:16">
      <c r="H201" s="4">
        <v>1977</v>
      </c>
      <c r="I201" s="4">
        <v>1</v>
      </c>
      <c r="J201" s="4">
        <v>370000</v>
      </c>
      <c r="K201">
        <v>1962</v>
      </c>
      <c r="L201">
        <v>9</v>
      </c>
      <c r="M201">
        <v>849000</v>
      </c>
      <c r="N201">
        <v>1955</v>
      </c>
      <c r="O201">
        <v>7</v>
      </c>
      <c r="P201">
        <v>599000</v>
      </c>
    </row>
    <row r="202" spans="8:16">
      <c r="H202" s="4">
        <v>1977</v>
      </c>
      <c r="I202" s="4">
        <v>4</v>
      </c>
      <c r="J202" s="4">
        <v>369000</v>
      </c>
      <c r="K202">
        <v>1962</v>
      </c>
      <c r="L202">
        <v>7</v>
      </c>
      <c r="M202">
        <v>849000</v>
      </c>
      <c r="N202">
        <v>1955</v>
      </c>
      <c r="O202">
        <v>6</v>
      </c>
      <c r="P202">
        <v>599000</v>
      </c>
    </row>
    <row r="203" spans="8:16">
      <c r="H203" s="4">
        <v>1977</v>
      </c>
      <c r="I203" s="4">
        <v>2</v>
      </c>
      <c r="J203" s="4">
        <v>369000</v>
      </c>
      <c r="K203">
        <v>1963</v>
      </c>
      <c r="L203">
        <v>7</v>
      </c>
      <c r="M203">
        <v>849000</v>
      </c>
      <c r="N203">
        <v>1955</v>
      </c>
      <c r="O203">
        <v>5</v>
      </c>
      <c r="P203">
        <v>599000</v>
      </c>
    </row>
    <row r="204" spans="8:16">
      <c r="H204" s="4">
        <v>1977</v>
      </c>
      <c r="I204" s="4">
        <v>1</v>
      </c>
      <c r="J204" s="4">
        <v>369000</v>
      </c>
      <c r="K204">
        <v>1963</v>
      </c>
      <c r="L204">
        <v>6</v>
      </c>
      <c r="M204">
        <v>849000</v>
      </c>
      <c r="N204">
        <v>1955</v>
      </c>
      <c r="O204">
        <v>4</v>
      </c>
      <c r="P204">
        <v>599000</v>
      </c>
    </row>
    <row r="205" spans="8:16">
      <c r="H205" s="4">
        <v>1977</v>
      </c>
      <c r="I205" s="4">
        <v>1</v>
      </c>
      <c r="J205" s="4">
        <v>369000</v>
      </c>
      <c r="K205">
        <v>1963</v>
      </c>
      <c r="L205">
        <v>6</v>
      </c>
      <c r="M205">
        <v>849000</v>
      </c>
      <c r="N205">
        <v>1955</v>
      </c>
      <c r="O205">
        <v>1</v>
      </c>
      <c r="P205">
        <v>579000</v>
      </c>
    </row>
    <row r="206" spans="8:16">
      <c r="H206" s="4">
        <v>1977</v>
      </c>
      <c r="I206" s="4">
        <v>1</v>
      </c>
      <c r="J206" s="4">
        <v>369000</v>
      </c>
      <c r="K206">
        <v>1963</v>
      </c>
      <c r="L206">
        <v>5</v>
      </c>
      <c r="M206">
        <v>849000</v>
      </c>
      <c r="N206">
        <v>1955</v>
      </c>
      <c r="O206">
        <v>1</v>
      </c>
      <c r="P206">
        <v>579000</v>
      </c>
    </row>
    <row r="207" spans="8:16">
      <c r="H207" s="4">
        <v>1977</v>
      </c>
      <c r="I207" s="4">
        <v>7</v>
      </c>
      <c r="J207" s="4">
        <v>349000</v>
      </c>
      <c r="K207">
        <v>1963</v>
      </c>
      <c r="L207">
        <v>4</v>
      </c>
      <c r="M207">
        <v>849000</v>
      </c>
      <c r="N207">
        <v>1955</v>
      </c>
      <c r="O207">
        <v>1</v>
      </c>
      <c r="P207">
        <v>579000</v>
      </c>
    </row>
    <row r="208" spans="8:16">
      <c r="H208" s="4">
        <v>1977</v>
      </c>
      <c r="I208" s="4">
        <v>3</v>
      </c>
      <c r="J208" s="4">
        <v>349000</v>
      </c>
      <c r="K208">
        <v>1963</v>
      </c>
      <c r="L208">
        <v>3</v>
      </c>
      <c r="M208">
        <v>849000</v>
      </c>
      <c r="N208">
        <v>1955</v>
      </c>
      <c r="O208">
        <v>1</v>
      </c>
      <c r="P208">
        <v>578000</v>
      </c>
    </row>
    <row r="209" spans="8:16">
      <c r="H209" s="4">
        <v>1977</v>
      </c>
      <c r="I209" s="4">
        <v>3</v>
      </c>
      <c r="J209" s="4">
        <v>349000</v>
      </c>
      <c r="K209">
        <v>1963</v>
      </c>
      <c r="L209">
        <v>1</v>
      </c>
      <c r="M209">
        <v>849000</v>
      </c>
      <c r="N209">
        <v>1955</v>
      </c>
      <c r="O209">
        <v>1</v>
      </c>
      <c r="P209">
        <v>578000</v>
      </c>
    </row>
    <row r="210" spans="8:16">
      <c r="H210" s="4">
        <v>1977</v>
      </c>
      <c r="I210" s="4">
        <v>2</v>
      </c>
      <c r="J210" s="4">
        <v>349000</v>
      </c>
      <c r="K210">
        <v>1963</v>
      </c>
      <c r="L210">
        <v>1</v>
      </c>
      <c r="M210">
        <v>839000</v>
      </c>
      <c r="N210">
        <v>1955</v>
      </c>
      <c r="O210">
        <v>1</v>
      </c>
      <c r="P210">
        <v>578000</v>
      </c>
    </row>
    <row r="211" spans="8:16">
      <c r="H211" s="4">
        <v>1977</v>
      </c>
      <c r="I211" s="4">
        <v>2</v>
      </c>
      <c r="J211" s="4">
        <v>349000</v>
      </c>
      <c r="K211">
        <v>1963</v>
      </c>
      <c r="L211">
        <v>1</v>
      </c>
      <c r="M211">
        <v>839000</v>
      </c>
      <c r="N211">
        <v>1955</v>
      </c>
      <c r="O211">
        <v>1</v>
      </c>
      <c r="P211">
        <v>552000</v>
      </c>
    </row>
    <row r="212" spans="8:16">
      <c r="H212" s="4">
        <v>1977</v>
      </c>
      <c r="I212" s="4">
        <v>1</v>
      </c>
      <c r="J212" s="4">
        <v>349000</v>
      </c>
      <c r="K212">
        <v>1963</v>
      </c>
      <c r="L212">
        <v>1</v>
      </c>
      <c r="M212">
        <v>812000</v>
      </c>
      <c r="N212">
        <v>1955</v>
      </c>
      <c r="O212">
        <v>1</v>
      </c>
      <c r="P212">
        <v>552000</v>
      </c>
    </row>
    <row r="213" spans="8:16">
      <c r="K213">
        <v>1963</v>
      </c>
      <c r="L213">
        <v>16</v>
      </c>
      <c r="M213">
        <v>799000</v>
      </c>
      <c r="N213">
        <v>1955</v>
      </c>
      <c r="O213">
        <v>1</v>
      </c>
      <c r="P213">
        <v>552000</v>
      </c>
    </row>
    <row r="214" spans="8:16">
      <c r="K214">
        <v>1963</v>
      </c>
      <c r="L214">
        <v>16</v>
      </c>
      <c r="M214">
        <v>799000</v>
      </c>
      <c r="N214">
        <v>1955</v>
      </c>
      <c r="O214">
        <v>4</v>
      </c>
      <c r="P214">
        <v>549000</v>
      </c>
    </row>
    <row r="215" spans="8:16">
      <c r="K215">
        <v>1963</v>
      </c>
      <c r="L215">
        <v>15</v>
      </c>
      <c r="M215">
        <v>799000</v>
      </c>
      <c r="N215">
        <v>1955</v>
      </c>
      <c r="O215">
        <v>2</v>
      </c>
      <c r="P215">
        <v>549000</v>
      </c>
    </row>
    <row r="216" spans="8:16">
      <c r="K216">
        <v>1963</v>
      </c>
      <c r="L216">
        <v>13</v>
      </c>
      <c r="M216">
        <v>799000</v>
      </c>
      <c r="N216">
        <v>1955</v>
      </c>
      <c r="O216">
        <v>2</v>
      </c>
      <c r="P216">
        <v>549000</v>
      </c>
    </row>
    <row r="217" spans="8:16">
      <c r="K217">
        <v>1963</v>
      </c>
      <c r="L217">
        <v>12</v>
      </c>
      <c r="M217">
        <v>799000</v>
      </c>
      <c r="N217">
        <v>1955</v>
      </c>
      <c r="O217">
        <v>2</v>
      </c>
      <c r="P217">
        <v>549000</v>
      </c>
    </row>
    <row r="218" spans="8:16">
      <c r="K218">
        <v>1963</v>
      </c>
      <c r="L218">
        <v>11</v>
      </c>
      <c r="M218">
        <v>799000</v>
      </c>
      <c r="N218">
        <v>1955</v>
      </c>
      <c r="O218">
        <v>1</v>
      </c>
      <c r="P218">
        <v>549000</v>
      </c>
    </row>
    <row r="219" spans="8:16">
      <c r="K219">
        <v>1963</v>
      </c>
      <c r="L219">
        <v>11</v>
      </c>
      <c r="M219">
        <v>799000</v>
      </c>
      <c r="N219">
        <v>1955</v>
      </c>
      <c r="O219">
        <v>2</v>
      </c>
      <c r="P219">
        <v>545000</v>
      </c>
    </row>
    <row r="220" spans="8:16">
      <c r="K220">
        <v>1963</v>
      </c>
      <c r="L220">
        <v>7</v>
      </c>
      <c r="M220">
        <v>799000</v>
      </c>
      <c r="N220">
        <v>1955</v>
      </c>
      <c r="O220">
        <v>4</v>
      </c>
      <c r="P220">
        <v>529000</v>
      </c>
    </row>
    <row r="221" spans="8:16">
      <c r="K221">
        <v>1963</v>
      </c>
      <c r="L221">
        <v>6</v>
      </c>
      <c r="M221">
        <v>799000</v>
      </c>
      <c r="N221">
        <v>1955</v>
      </c>
      <c r="O221">
        <v>1</v>
      </c>
      <c r="P221">
        <v>529000</v>
      </c>
    </row>
    <row r="222" spans="8:16">
      <c r="K222">
        <v>1963</v>
      </c>
      <c r="L222">
        <v>1</v>
      </c>
      <c r="M222">
        <v>790000</v>
      </c>
      <c r="N222">
        <v>1955</v>
      </c>
      <c r="O222">
        <v>1</v>
      </c>
      <c r="P222">
        <v>529000</v>
      </c>
    </row>
    <row r="223" spans="8:16">
      <c r="K223">
        <v>1963</v>
      </c>
      <c r="L223">
        <v>1</v>
      </c>
      <c r="M223">
        <v>790000</v>
      </c>
      <c r="N223">
        <v>1955</v>
      </c>
      <c r="O223">
        <v>1</v>
      </c>
      <c r="P223">
        <v>529000</v>
      </c>
    </row>
    <row r="224" spans="8:16">
      <c r="K224">
        <v>1963</v>
      </c>
      <c r="L224">
        <v>9</v>
      </c>
      <c r="M224">
        <v>749000</v>
      </c>
      <c r="N224">
        <v>1955</v>
      </c>
      <c r="O224">
        <v>1</v>
      </c>
      <c r="P224">
        <v>529000</v>
      </c>
    </row>
    <row r="225" spans="11:16">
      <c r="K225">
        <v>1963</v>
      </c>
      <c r="L225">
        <v>7</v>
      </c>
      <c r="M225">
        <v>749000</v>
      </c>
      <c r="N225">
        <v>1955</v>
      </c>
      <c r="O225">
        <v>3</v>
      </c>
      <c r="P225">
        <v>512000</v>
      </c>
    </row>
    <row r="226" spans="11:16">
      <c r="K226">
        <v>1963</v>
      </c>
      <c r="L226">
        <v>5</v>
      </c>
      <c r="M226">
        <v>749000</v>
      </c>
      <c r="N226">
        <v>1955</v>
      </c>
      <c r="O226">
        <v>2</v>
      </c>
      <c r="P226">
        <v>512000</v>
      </c>
    </row>
    <row r="227" spans="11:16">
      <c r="K227">
        <v>1963</v>
      </c>
      <c r="L227">
        <v>4</v>
      </c>
      <c r="M227">
        <v>749000</v>
      </c>
      <c r="N227">
        <v>1955</v>
      </c>
      <c r="O227">
        <v>1</v>
      </c>
      <c r="P227">
        <v>500000</v>
      </c>
    </row>
    <row r="228" spans="11:16">
      <c r="K228">
        <v>1963</v>
      </c>
      <c r="L228">
        <v>4</v>
      </c>
      <c r="M228">
        <v>749000</v>
      </c>
      <c r="N228">
        <v>1955</v>
      </c>
      <c r="O228">
        <v>17</v>
      </c>
      <c r="P228">
        <v>499000</v>
      </c>
    </row>
    <row r="229" spans="11:16">
      <c r="K229">
        <v>1963</v>
      </c>
      <c r="L229">
        <v>4</v>
      </c>
      <c r="M229">
        <v>749000</v>
      </c>
      <c r="N229">
        <v>1955</v>
      </c>
      <c r="O229">
        <v>15</v>
      </c>
      <c r="P229">
        <v>499000</v>
      </c>
    </row>
    <row r="230" spans="11:16">
      <c r="K230">
        <v>1963</v>
      </c>
      <c r="L230">
        <v>2</v>
      </c>
      <c r="M230">
        <v>749000</v>
      </c>
      <c r="N230">
        <v>1955</v>
      </c>
      <c r="O230">
        <v>13</v>
      </c>
      <c r="P230">
        <v>499000</v>
      </c>
    </row>
    <row r="231" spans="11:16">
      <c r="K231">
        <v>1963</v>
      </c>
      <c r="L231">
        <v>2</v>
      </c>
      <c r="M231">
        <v>749000</v>
      </c>
      <c r="N231">
        <v>1955</v>
      </c>
      <c r="O231">
        <v>11</v>
      </c>
      <c r="P231">
        <v>499000</v>
      </c>
    </row>
    <row r="232" spans="11:16">
      <c r="K232">
        <v>1963</v>
      </c>
      <c r="L232">
        <v>2</v>
      </c>
      <c r="M232">
        <v>749000</v>
      </c>
      <c r="N232">
        <v>1955</v>
      </c>
      <c r="O232">
        <v>11</v>
      </c>
      <c r="P232">
        <v>499000</v>
      </c>
    </row>
    <row r="233" spans="11:16">
      <c r="K233">
        <v>1963</v>
      </c>
      <c r="L233">
        <v>4</v>
      </c>
      <c r="M233">
        <v>729000</v>
      </c>
      <c r="N233">
        <v>1955</v>
      </c>
      <c r="O233">
        <v>9</v>
      </c>
      <c r="P233">
        <v>499000</v>
      </c>
    </row>
    <row r="234" spans="11:16">
      <c r="K234">
        <v>1963</v>
      </c>
      <c r="L234">
        <v>3</v>
      </c>
      <c r="M234">
        <v>729000</v>
      </c>
      <c r="N234">
        <v>1955</v>
      </c>
      <c r="O234">
        <v>8</v>
      </c>
      <c r="P234">
        <v>499000</v>
      </c>
    </row>
    <row r="235" spans="11:16">
      <c r="K235">
        <v>1963</v>
      </c>
      <c r="L235">
        <v>3</v>
      </c>
      <c r="M235">
        <v>729000</v>
      </c>
      <c r="N235">
        <v>1955</v>
      </c>
      <c r="O235">
        <v>8</v>
      </c>
      <c r="P235">
        <v>499000</v>
      </c>
    </row>
    <row r="236" spans="11:16">
      <c r="K236">
        <v>1963</v>
      </c>
      <c r="L236">
        <v>3</v>
      </c>
      <c r="M236">
        <v>729000</v>
      </c>
      <c r="N236">
        <v>1955</v>
      </c>
      <c r="O236">
        <v>7</v>
      </c>
      <c r="P236">
        <v>499000</v>
      </c>
    </row>
    <row r="237" spans="11:16">
      <c r="K237">
        <v>1963</v>
      </c>
      <c r="L237">
        <v>2</v>
      </c>
      <c r="M237">
        <v>729000</v>
      </c>
      <c r="N237">
        <v>1955</v>
      </c>
      <c r="O237">
        <v>1</v>
      </c>
      <c r="P237">
        <v>489000</v>
      </c>
    </row>
    <row r="238" spans="11:16">
      <c r="K238">
        <v>1963</v>
      </c>
      <c r="L238">
        <v>2</v>
      </c>
      <c r="M238">
        <v>729000</v>
      </c>
      <c r="N238">
        <v>1955</v>
      </c>
      <c r="O238">
        <v>2</v>
      </c>
      <c r="P238">
        <v>488000</v>
      </c>
    </row>
    <row r="239" spans="11:16">
      <c r="K239">
        <v>1963</v>
      </c>
      <c r="L239">
        <v>1</v>
      </c>
      <c r="M239">
        <v>729000</v>
      </c>
      <c r="N239">
        <v>1955</v>
      </c>
      <c r="O239">
        <v>1</v>
      </c>
      <c r="P239">
        <v>488000</v>
      </c>
    </row>
    <row r="240" spans="11:16">
      <c r="K240">
        <v>1963</v>
      </c>
      <c r="L240">
        <v>1</v>
      </c>
      <c r="M240">
        <v>729000</v>
      </c>
      <c r="N240">
        <v>1956</v>
      </c>
      <c r="O240">
        <v>1</v>
      </c>
      <c r="P240">
        <v>488000</v>
      </c>
    </row>
    <row r="241" spans="11:16">
      <c r="K241">
        <v>1963</v>
      </c>
      <c r="L241">
        <v>1</v>
      </c>
      <c r="M241">
        <v>729000</v>
      </c>
      <c r="N241">
        <v>1956</v>
      </c>
      <c r="O241">
        <v>1</v>
      </c>
      <c r="P241">
        <v>488000</v>
      </c>
    </row>
    <row r="242" spans="11:16">
      <c r="K242">
        <v>1963</v>
      </c>
      <c r="L242">
        <v>1</v>
      </c>
      <c r="M242">
        <v>719000</v>
      </c>
      <c r="N242">
        <v>1956</v>
      </c>
      <c r="O242">
        <v>3</v>
      </c>
      <c r="P242">
        <v>481000</v>
      </c>
    </row>
    <row r="243" spans="11:16">
      <c r="K243">
        <v>1963</v>
      </c>
      <c r="L243">
        <v>1</v>
      </c>
      <c r="M243">
        <v>719000</v>
      </c>
      <c r="N243">
        <v>1956</v>
      </c>
      <c r="O243">
        <v>2</v>
      </c>
      <c r="P243">
        <v>481000</v>
      </c>
    </row>
    <row r="244" spans="11:16">
      <c r="K244">
        <v>1963</v>
      </c>
      <c r="L244">
        <v>35</v>
      </c>
      <c r="M244">
        <v>699000</v>
      </c>
      <c r="N244">
        <v>1956</v>
      </c>
      <c r="O244">
        <v>1</v>
      </c>
      <c r="P244">
        <v>481000</v>
      </c>
    </row>
    <row r="245" spans="11:16">
      <c r="K245">
        <v>1963</v>
      </c>
      <c r="L245">
        <v>32</v>
      </c>
      <c r="M245">
        <v>699000</v>
      </c>
      <c r="N245">
        <v>1956</v>
      </c>
      <c r="O245">
        <v>1</v>
      </c>
      <c r="P245">
        <v>481000</v>
      </c>
    </row>
    <row r="246" spans="11:16">
      <c r="K246">
        <v>1963</v>
      </c>
      <c r="L246">
        <v>32</v>
      </c>
      <c r="M246">
        <v>699000</v>
      </c>
      <c r="N246">
        <v>1956</v>
      </c>
      <c r="O246">
        <v>1</v>
      </c>
      <c r="P246">
        <v>481000</v>
      </c>
    </row>
    <row r="247" spans="11:16">
      <c r="K247">
        <v>1963</v>
      </c>
      <c r="L247">
        <v>31</v>
      </c>
      <c r="M247">
        <v>699000</v>
      </c>
      <c r="N247">
        <v>1956</v>
      </c>
      <c r="O247">
        <v>1</v>
      </c>
      <c r="P247">
        <v>481000</v>
      </c>
    </row>
    <row r="248" spans="11:16">
      <c r="K248">
        <v>1963</v>
      </c>
      <c r="L248">
        <v>28</v>
      </c>
      <c r="M248">
        <v>699000</v>
      </c>
      <c r="N248">
        <v>1956</v>
      </c>
      <c r="O248">
        <v>1</v>
      </c>
      <c r="P248">
        <v>481000</v>
      </c>
    </row>
    <row r="249" spans="11:16">
      <c r="K249">
        <v>1963</v>
      </c>
      <c r="L249">
        <v>23</v>
      </c>
      <c r="M249">
        <v>699000</v>
      </c>
      <c r="N249">
        <v>1956</v>
      </c>
      <c r="O249">
        <v>1</v>
      </c>
      <c r="P249">
        <v>469000</v>
      </c>
    </row>
    <row r="250" spans="11:16">
      <c r="K250">
        <v>1963</v>
      </c>
      <c r="L250">
        <v>21</v>
      </c>
      <c r="M250">
        <v>699000</v>
      </c>
      <c r="N250">
        <v>1956</v>
      </c>
      <c r="O250">
        <v>1</v>
      </c>
      <c r="P250">
        <v>469000</v>
      </c>
    </row>
    <row r="251" spans="11:16">
      <c r="K251">
        <v>1963</v>
      </c>
      <c r="L251">
        <v>20</v>
      </c>
      <c r="M251">
        <v>699000</v>
      </c>
      <c r="N251">
        <v>1956</v>
      </c>
      <c r="O251">
        <v>1</v>
      </c>
      <c r="P251">
        <v>469000</v>
      </c>
    </row>
    <row r="252" spans="11:16">
      <c r="K252">
        <v>1963</v>
      </c>
      <c r="L252">
        <v>18</v>
      </c>
      <c r="M252">
        <v>699000</v>
      </c>
      <c r="N252">
        <v>1956</v>
      </c>
      <c r="O252">
        <v>1</v>
      </c>
      <c r="P252">
        <v>469000</v>
      </c>
    </row>
    <row r="253" spans="11:16">
      <c r="K253">
        <v>1963</v>
      </c>
      <c r="L253">
        <v>5</v>
      </c>
      <c r="M253">
        <v>690000</v>
      </c>
      <c r="N253">
        <v>1956</v>
      </c>
      <c r="O253">
        <v>1</v>
      </c>
      <c r="P253">
        <v>450000</v>
      </c>
    </row>
    <row r="254" spans="11:16">
      <c r="K254">
        <v>1963</v>
      </c>
      <c r="L254">
        <v>1</v>
      </c>
      <c r="M254">
        <v>690000</v>
      </c>
      <c r="N254">
        <v>1956</v>
      </c>
      <c r="O254">
        <v>33</v>
      </c>
      <c r="P254">
        <v>449000</v>
      </c>
    </row>
    <row r="255" spans="11:16">
      <c r="K255">
        <v>1964</v>
      </c>
      <c r="L255">
        <v>1</v>
      </c>
      <c r="M255">
        <v>690000</v>
      </c>
      <c r="N255">
        <v>1956</v>
      </c>
      <c r="O255">
        <v>29</v>
      </c>
      <c r="P255">
        <v>449000</v>
      </c>
    </row>
    <row r="256" spans="11:16">
      <c r="K256">
        <v>1964</v>
      </c>
      <c r="L256">
        <v>1</v>
      </c>
      <c r="M256">
        <v>690000</v>
      </c>
      <c r="N256">
        <v>1956</v>
      </c>
      <c r="O256">
        <v>28</v>
      </c>
      <c r="P256">
        <v>449000</v>
      </c>
    </row>
    <row r="257" spans="11:16">
      <c r="K257">
        <v>1964</v>
      </c>
      <c r="L257">
        <v>1</v>
      </c>
      <c r="M257">
        <v>690000</v>
      </c>
      <c r="N257">
        <v>1956</v>
      </c>
      <c r="O257">
        <v>24</v>
      </c>
      <c r="P257">
        <v>449000</v>
      </c>
    </row>
    <row r="258" spans="11:16">
      <c r="K258">
        <v>1964</v>
      </c>
      <c r="L258">
        <v>1</v>
      </c>
      <c r="M258">
        <v>690000</v>
      </c>
      <c r="N258">
        <v>1956</v>
      </c>
      <c r="O258">
        <v>24</v>
      </c>
      <c r="P258">
        <v>449000</v>
      </c>
    </row>
    <row r="259" spans="11:16">
      <c r="K259">
        <v>1964</v>
      </c>
      <c r="L259">
        <v>2</v>
      </c>
      <c r="M259">
        <v>679000</v>
      </c>
      <c r="N259">
        <v>1956</v>
      </c>
      <c r="O259">
        <v>22</v>
      </c>
      <c r="P259">
        <v>449000</v>
      </c>
    </row>
    <row r="260" spans="11:16">
      <c r="K260">
        <v>1964</v>
      </c>
      <c r="L260">
        <v>1</v>
      </c>
      <c r="M260">
        <v>679000</v>
      </c>
      <c r="N260">
        <v>1956</v>
      </c>
      <c r="O260">
        <v>22</v>
      </c>
      <c r="P260">
        <v>449000</v>
      </c>
    </row>
    <row r="261" spans="11:16">
      <c r="K261">
        <v>1964</v>
      </c>
      <c r="L261">
        <v>7</v>
      </c>
      <c r="M261">
        <v>649000</v>
      </c>
      <c r="N261">
        <v>1956</v>
      </c>
      <c r="O261">
        <v>21</v>
      </c>
      <c r="P261">
        <v>449000</v>
      </c>
    </row>
    <row r="262" spans="11:16">
      <c r="K262">
        <v>1964</v>
      </c>
      <c r="L262">
        <v>7</v>
      </c>
      <c r="M262">
        <v>649000</v>
      </c>
      <c r="N262">
        <v>1956</v>
      </c>
      <c r="O262">
        <v>21</v>
      </c>
      <c r="P262">
        <v>449000</v>
      </c>
    </row>
    <row r="263" spans="11:16">
      <c r="K263">
        <v>1964</v>
      </c>
      <c r="L263">
        <v>6</v>
      </c>
      <c r="M263">
        <v>649000</v>
      </c>
      <c r="N263">
        <v>1956</v>
      </c>
      <c r="O263">
        <v>1</v>
      </c>
      <c r="P263">
        <v>439000</v>
      </c>
    </row>
    <row r="264" spans="11:16">
      <c r="K264">
        <v>1964</v>
      </c>
      <c r="L264">
        <v>6</v>
      </c>
      <c r="M264">
        <v>649000</v>
      </c>
      <c r="N264">
        <v>1956</v>
      </c>
      <c r="O264">
        <v>1</v>
      </c>
      <c r="P264">
        <v>439000</v>
      </c>
    </row>
    <row r="265" spans="11:16">
      <c r="K265">
        <v>1964</v>
      </c>
      <c r="L265">
        <v>6</v>
      </c>
      <c r="M265">
        <v>649000</v>
      </c>
      <c r="N265">
        <v>1956</v>
      </c>
      <c r="O265">
        <v>1</v>
      </c>
      <c r="P265">
        <v>429000</v>
      </c>
    </row>
    <row r="266" spans="11:16">
      <c r="K266">
        <v>1964</v>
      </c>
      <c r="L266">
        <v>5</v>
      </c>
      <c r="M266">
        <v>649000</v>
      </c>
      <c r="N266">
        <v>1956</v>
      </c>
      <c r="O266">
        <v>1</v>
      </c>
      <c r="P266">
        <v>429000</v>
      </c>
    </row>
    <row r="267" spans="11:16">
      <c r="K267">
        <v>1964</v>
      </c>
      <c r="L267">
        <v>4</v>
      </c>
      <c r="M267">
        <v>649000</v>
      </c>
      <c r="N267">
        <v>1956</v>
      </c>
      <c r="O267">
        <v>1</v>
      </c>
      <c r="P267">
        <v>420000</v>
      </c>
    </row>
    <row r="268" spans="11:16">
      <c r="K268">
        <v>1964</v>
      </c>
      <c r="L268">
        <v>2</v>
      </c>
      <c r="M268">
        <v>649000</v>
      </c>
      <c r="N268">
        <v>1956</v>
      </c>
      <c r="O268">
        <v>1</v>
      </c>
      <c r="P268">
        <v>412000</v>
      </c>
    </row>
    <row r="269" spans="11:16">
      <c r="K269">
        <v>1964</v>
      </c>
      <c r="L269">
        <v>2</v>
      </c>
      <c r="M269">
        <v>649000</v>
      </c>
      <c r="N269">
        <v>1956</v>
      </c>
      <c r="O269">
        <v>1</v>
      </c>
      <c r="P269">
        <v>412000</v>
      </c>
    </row>
    <row r="270" spans="11:16">
      <c r="K270">
        <v>1964</v>
      </c>
      <c r="L270">
        <v>3</v>
      </c>
      <c r="M270">
        <v>640000</v>
      </c>
      <c r="N270">
        <v>1956</v>
      </c>
      <c r="O270">
        <v>1</v>
      </c>
      <c r="P270">
        <v>412000</v>
      </c>
    </row>
    <row r="271" spans="11:16">
      <c r="K271">
        <v>1964</v>
      </c>
      <c r="L271">
        <v>2</v>
      </c>
      <c r="M271">
        <v>640000</v>
      </c>
      <c r="N271">
        <v>1956</v>
      </c>
      <c r="O271">
        <v>1</v>
      </c>
      <c r="P271">
        <v>412000</v>
      </c>
    </row>
    <row r="272" spans="11:16">
      <c r="K272">
        <v>1964</v>
      </c>
      <c r="L272">
        <v>1</v>
      </c>
      <c r="M272">
        <v>640000</v>
      </c>
      <c r="N272">
        <v>1956</v>
      </c>
      <c r="O272">
        <v>2</v>
      </c>
      <c r="P272">
        <v>408000</v>
      </c>
    </row>
    <row r="273" spans="11:16">
      <c r="K273">
        <v>1964</v>
      </c>
      <c r="L273">
        <v>1</v>
      </c>
      <c r="M273">
        <v>640000</v>
      </c>
      <c r="N273">
        <v>1956</v>
      </c>
      <c r="O273">
        <v>1</v>
      </c>
      <c r="P273">
        <v>400000</v>
      </c>
    </row>
    <row r="274" spans="11:16">
      <c r="K274">
        <v>1964</v>
      </c>
      <c r="L274">
        <v>1</v>
      </c>
      <c r="M274">
        <v>640000</v>
      </c>
      <c r="N274">
        <v>1956</v>
      </c>
      <c r="O274">
        <v>1</v>
      </c>
      <c r="P274">
        <v>400000</v>
      </c>
    </row>
    <row r="275" spans="11:16">
      <c r="K275">
        <v>1964</v>
      </c>
      <c r="L275">
        <v>1</v>
      </c>
      <c r="M275">
        <v>640000</v>
      </c>
      <c r="N275">
        <v>1956</v>
      </c>
      <c r="O275">
        <v>1</v>
      </c>
      <c r="P275">
        <v>400000</v>
      </c>
    </row>
    <row r="276" spans="11:16">
      <c r="K276">
        <v>1964</v>
      </c>
      <c r="L276">
        <v>1</v>
      </c>
      <c r="M276">
        <v>639000</v>
      </c>
      <c r="N276">
        <v>1956</v>
      </c>
      <c r="O276">
        <v>21</v>
      </c>
      <c r="P276">
        <v>399000</v>
      </c>
    </row>
    <row r="277" spans="11:16">
      <c r="K277">
        <v>1964</v>
      </c>
      <c r="L277">
        <v>21</v>
      </c>
      <c r="M277">
        <v>599000</v>
      </c>
      <c r="N277">
        <v>1956</v>
      </c>
      <c r="O277">
        <v>18</v>
      </c>
      <c r="P277">
        <v>399000</v>
      </c>
    </row>
    <row r="278" spans="11:16">
      <c r="K278">
        <v>1964</v>
      </c>
      <c r="L278">
        <v>20</v>
      </c>
      <c r="M278">
        <v>599000</v>
      </c>
      <c r="N278">
        <v>1956</v>
      </c>
      <c r="O278">
        <v>16</v>
      </c>
      <c r="P278">
        <v>399000</v>
      </c>
    </row>
    <row r="279" spans="11:16">
      <c r="K279">
        <v>1964</v>
      </c>
      <c r="L279">
        <v>19</v>
      </c>
      <c r="M279">
        <v>599000</v>
      </c>
      <c r="N279">
        <v>1956</v>
      </c>
      <c r="O279">
        <v>13</v>
      </c>
      <c r="P279">
        <v>399000</v>
      </c>
    </row>
    <row r="280" spans="11:16">
      <c r="K280">
        <v>1964</v>
      </c>
      <c r="L280">
        <v>15</v>
      </c>
      <c r="M280">
        <v>599000</v>
      </c>
      <c r="N280">
        <v>1956</v>
      </c>
      <c r="O280">
        <v>12</v>
      </c>
      <c r="P280">
        <v>399000</v>
      </c>
    </row>
    <row r="281" spans="11:16">
      <c r="K281">
        <v>1964</v>
      </c>
      <c r="L281">
        <v>13</v>
      </c>
      <c r="M281">
        <v>599000</v>
      </c>
      <c r="N281">
        <v>1956</v>
      </c>
      <c r="O281">
        <v>11</v>
      </c>
      <c r="P281">
        <v>399000</v>
      </c>
    </row>
    <row r="282" spans="11:16">
      <c r="K282">
        <v>1964</v>
      </c>
      <c r="L282">
        <v>10</v>
      </c>
      <c r="M282">
        <v>599000</v>
      </c>
      <c r="N282">
        <v>1956</v>
      </c>
      <c r="O282">
        <v>6</v>
      </c>
      <c r="P282">
        <v>399000</v>
      </c>
    </row>
    <row r="283" spans="11:16">
      <c r="K283">
        <v>1964</v>
      </c>
      <c r="L283">
        <v>10</v>
      </c>
      <c r="M283">
        <v>599000</v>
      </c>
      <c r="N283">
        <v>1956</v>
      </c>
      <c r="O283">
        <v>6</v>
      </c>
      <c r="P283">
        <v>399000</v>
      </c>
    </row>
    <row r="284" spans="11:16">
      <c r="K284">
        <v>1964</v>
      </c>
      <c r="L284">
        <v>9</v>
      </c>
      <c r="M284">
        <v>599000</v>
      </c>
      <c r="N284">
        <v>1956</v>
      </c>
      <c r="O284">
        <v>6</v>
      </c>
      <c r="P284">
        <v>399000</v>
      </c>
    </row>
    <row r="285" spans="11:16">
      <c r="K285">
        <v>1964</v>
      </c>
      <c r="L285">
        <v>5</v>
      </c>
      <c r="M285">
        <v>599000</v>
      </c>
      <c r="N285">
        <v>1956</v>
      </c>
      <c r="O285">
        <v>3</v>
      </c>
      <c r="P285">
        <v>390000</v>
      </c>
    </row>
    <row r="286" spans="11:16">
      <c r="K286">
        <v>1964</v>
      </c>
      <c r="L286">
        <v>1</v>
      </c>
      <c r="M286">
        <v>579000</v>
      </c>
      <c r="N286">
        <v>1957</v>
      </c>
      <c r="O286">
        <v>2</v>
      </c>
      <c r="P286">
        <v>390000</v>
      </c>
    </row>
    <row r="287" spans="11:16">
      <c r="K287">
        <v>1964</v>
      </c>
      <c r="L287">
        <v>1</v>
      </c>
      <c r="M287">
        <v>579000</v>
      </c>
      <c r="N287">
        <v>1957</v>
      </c>
      <c r="O287">
        <v>2</v>
      </c>
      <c r="P287">
        <v>390000</v>
      </c>
    </row>
    <row r="288" spans="11:16">
      <c r="K288">
        <v>1964</v>
      </c>
      <c r="L288">
        <v>1</v>
      </c>
      <c r="M288">
        <v>578000</v>
      </c>
      <c r="N288">
        <v>1957</v>
      </c>
      <c r="O288">
        <v>2</v>
      </c>
      <c r="P288">
        <v>390000</v>
      </c>
    </row>
    <row r="289" spans="11:16">
      <c r="K289">
        <v>1964</v>
      </c>
      <c r="L289">
        <v>1</v>
      </c>
      <c r="M289">
        <v>550000</v>
      </c>
      <c r="N289">
        <v>1957</v>
      </c>
      <c r="O289">
        <v>2</v>
      </c>
      <c r="P289">
        <v>390000</v>
      </c>
    </row>
    <row r="290" spans="11:16">
      <c r="K290">
        <v>1964</v>
      </c>
      <c r="L290">
        <v>6</v>
      </c>
      <c r="M290">
        <v>549000</v>
      </c>
      <c r="N290">
        <v>1957</v>
      </c>
      <c r="O290">
        <v>2</v>
      </c>
      <c r="P290">
        <v>390000</v>
      </c>
    </row>
    <row r="291" spans="11:16">
      <c r="K291">
        <v>1964</v>
      </c>
      <c r="L291">
        <v>2</v>
      </c>
      <c r="M291">
        <v>549000</v>
      </c>
      <c r="N291">
        <v>1957</v>
      </c>
      <c r="O291">
        <v>1</v>
      </c>
      <c r="P291">
        <v>390000</v>
      </c>
    </row>
    <row r="292" spans="11:16">
      <c r="K292">
        <v>1964</v>
      </c>
      <c r="L292">
        <v>2</v>
      </c>
      <c r="M292">
        <v>549000</v>
      </c>
      <c r="N292">
        <v>1957</v>
      </c>
      <c r="O292">
        <v>2</v>
      </c>
      <c r="P292">
        <v>389000</v>
      </c>
    </row>
    <row r="293" spans="11:16">
      <c r="K293">
        <v>1964</v>
      </c>
      <c r="L293">
        <v>1</v>
      </c>
      <c r="M293">
        <v>549000</v>
      </c>
      <c r="N293">
        <v>1957</v>
      </c>
      <c r="O293">
        <v>2</v>
      </c>
      <c r="P293">
        <v>389000</v>
      </c>
    </row>
    <row r="294" spans="11:16">
      <c r="K294">
        <v>1964</v>
      </c>
      <c r="L294">
        <v>1</v>
      </c>
      <c r="M294">
        <v>549000</v>
      </c>
      <c r="N294">
        <v>1957</v>
      </c>
      <c r="O294">
        <v>2</v>
      </c>
      <c r="P294">
        <v>389000</v>
      </c>
    </row>
    <row r="295" spans="11:16">
      <c r="K295">
        <v>1964</v>
      </c>
      <c r="L295">
        <v>1</v>
      </c>
      <c r="M295">
        <v>549000</v>
      </c>
      <c r="N295">
        <v>1957</v>
      </c>
      <c r="O295">
        <v>1</v>
      </c>
      <c r="P295">
        <v>389000</v>
      </c>
    </row>
    <row r="296" spans="11:16">
      <c r="K296">
        <v>1965</v>
      </c>
      <c r="L296">
        <v>4</v>
      </c>
      <c r="M296">
        <v>538000</v>
      </c>
      <c r="N296">
        <v>1957</v>
      </c>
      <c r="O296">
        <v>2</v>
      </c>
      <c r="P296">
        <v>388000</v>
      </c>
    </row>
    <row r="297" spans="11:16">
      <c r="K297">
        <v>1965</v>
      </c>
      <c r="L297">
        <v>1</v>
      </c>
      <c r="M297">
        <v>532000</v>
      </c>
      <c r="N297">
        <v>1957</v>
      </c>
      <c r="O297">
        <v>1</v>
      </c>
      <c r="P297">
        <v>388000</v>
      </c>
    </row>
    <row r="298" spans="11:16">
      <c r="K298">
        <v>1965</v>
      </c>
      <c r="L298">
        <v>1</v>
      </c>
      <c r="M298">
        <v>532000</v>
      </c>
      <c r="N298">
        <v>1957</v>
      </c>
      <c r="O298">
        <v>1</v>
      </c>
      <c r="P298">
        <v>383000</v>
      </c>
    </row>
    <row r="299" spans="11:16">
      <c r="K299">
        <v>1965</v>
      </c>
      <c r="L299">
        <v>1</v>
      </c>
      <c r="M299">
        <v>532000</v>
      </c>
      <c r="N299">
        <v>1957</v>
      </c>
      <c r="O299">
        <v>8</v>
      </c>
      <c r="P299">
        <v>369000</v>
      </c>
    </row>
    <row r="300" spans="11:16">
      <c r="K300">
        <v>1965</v>
      </c>
      <c r="L300">
        <v>8</v>
      </c>
      <c r="M300">
        <v>529000</v>
      </c>
      <c r="N300">
        <v>1957</v>
      </c>
      <c r="O300">
        <v>6</v>
      </c>
      <c r="P300">
        <v>369000</v>
      </c>
    </row>
    <row r="301" spans="11:16">
      <c r="K301">
        <v>1965</v>
      </c>
      <c r="L301">
        <v>3</v>
      </c>
      <c r="M301">
        <v>529000</v>
      </c>
      <c r="N301">
        <v>1957</v>
      </c>
      <c r="O301">
        <v>6</v>
      </c>
      <c r="P301">
        <v>369000</v>
      </c>
    </row>
    <row r="302" spans="11:16">
      <c r="K302">
        <v>1965</v>
      </c>
      <c r="L302">
        <v>3</v>
      </c>
      <c r="M302">
        <v>529000</v>
      </c>
      <c r="N302">
        <v>1957</v>
      </c>
      <c r="O302">
        <v>5</v>
      </c>
      <c r="P302">
        <v>369000</v>
      </c>
    </row>
    <row r="303" spans="11:16">
      <c r="K303">
        <v>1965</v>
      </c>
      <c r="L303">
        <v>2</v>
      </c>
      <c r="M303">
        <v>529000</v>
      </c>
      <c r="N303">
        <v>1957</v>
      </c>
      <c r="O303">
        <v>4</v>
      </c>
      <c r="P303">
        <v>369000</v>
      </c>
    </row>
    <row r="304" spans="11:16">
      <c r="K304">
        <v>1965</v>
      </c>
      <c r="L304">
        <v>2</v>
      </c>
      <c r="M304">
        <v>529000</v>
      </c>
      <c r="N304">
        <v>1957</v>
      </c>
      <c r="O304">
        <v>3</v>
      </c>
      <c r="P304">
        <v>369000</v>
      </c>
    </row>
    <row r="305" spans="11:16">
      <c r="K305">
        <v>1965</v>
      </c>
      <c r="L305">
        <v>1</v>
      </c>
      <c r="M305">
        <v>529000</v>
      </c>
      <c r="N305">
        <v>1957</v>
      </c>
      <c r="O305">
        <v>3</v>
      </c>
      <c r="P305">
        <v>369000</v>
      </c>
    </row>
    <row r="306" spans="11:16">
      <c r="K306">
        <v>1965</v>
      </c>
      <c r="L306">
        <v>1</v>
      </c>
      <c r="M306">
        <v>529000</v>
      </c>
      <c r="N306">
        <v>1957</v>
      </c>
      <c r="O306">
        <v>3</v>
      </c>
      <c r="P306">
        <v>369000</v>
      </c>
    </row>
    <row r="307" spans="11:16">
      <c r="K307">
        <v>1965</v>
      </c>
      <c r="L307">
        <v>1</v>
      </c>
      <c r="M307">
        <v>520000</v>
      </c>
      <c r="N307">
        <v>1957</v>
      </c>
      <c r="O307">
        <v>1</v>
      </c>
      <c r="P307">
        <v>369000</v>
      </c>
    </row>
    <row r="308" spans="11:16">
      <c r="K308">
        <v>1965</v>
      </c>
      <c r="L308">
        <v>1</v>
      </c>
      <c r="M308">
        <v>512000</v>
      </c>
      <c r="N308">
        <v>1957</v>
      </c>
      <c r="O308">
        <v>1</v>
      </c>
      <c r="P308">
        <v>359000</v>
      </c>
    </row>
    <row r="309" spans="11:16">
      <c r="K309">
        <v>1965</v>
      </c>
      <c r="L309">
        <v>1</v>
      </c>
      <c r="M309">
        <v>512000</v>
      </c>
      <c r="N309">
        <v>1957</v>
      </c>
      <c r="O309">
        <v>1</v>
      </c>
      <c r="P309">
        <v>358000</v>
      </c>
    </row>
    <row r="310" spans="11:16">
      <c r="K310">
        <v>1965</v>
      </c>
      <c r="L310">
        <v>1</v>
      </c>
      <c r="M310">
        <v>512000</v>
      </c>
      <c r="N310">
        <v>1957</v>
      </c>
      <c r="O310">
        <v>2</v>
      </c>
      <c r="P310">
        <v>352000</v>
      </c>
    </row>
    <row r="311" spans="11:16">
      <c r="K311">
        <v>1965</v>
      </c>
      <c r="L311">
        <v>9</v>
      </c>
      <c r="M311">
        <v>500000</v>
      </c>
      <c r="N311">
        <v>1957</v>
      </c>
      <c r="O311">
        <v>1</v>
      </c>
      <c r="P311">
        <v>350000</v>
      </c>
    </row>
    <row r="312" spans="11:16">
      <c r="K312">
        <v>1965</v>
      </c>
      <c r="L312">
        <v>2</v>
      </c>
      <c r="M312">
        <v>500000</v>
      </c>
      <c r="N312">
        <v>1957</v>
      </c>
      <c r="O312">
        <v>1</v>
      </c>
      <c r="P312">
        <v>350000</v>
      </c>
    </row>
    <row r="313" spans="11:16">
      <c r="K313">
        <v>1965</v>
      </c>
      <c r="L313">
        <v>1</v>
      </c>
      <c r="M313">
        <v>500000</v>
      </c>
      <c r="N313">
        <v>1957</v>
      </c>
      <c r="O313">
        <v>18</v>
      </c>
      <c r="P313">
        <v>349000</v>
      </c>
    </row>
    <row r="314" spans="11:16">
      <c r="K314">
        <v>1965</v>
      </c>
      <c r="L314">
        <v>1</v>
      </c>
      <c r="M314">
        <v>500000</v>
      </c>
      <c r="N314">
        <v>1957</v>
      </c>
      <c r="O314">
        <v>17</v>
      </c>
      <c r="P314">
        <v>349000</v>
      </c>
    </row>
    <row r="315" spans="11:16">
      <c r="K315">
        <v>1965</v>
      </c>
      <c r="L315">
        <v>1</v>
      </c>
      <c r="M315">
        <v>500000</v>
      </c>
      <c r="N315">
        <v>1957</v>
      </c>
      <c r="O315">
        <v>17</v>
      </c>
      <c r="P315">
        <v>349000</v>
      </c>
    </row>
    <row r="316" spans="11:16">
      <c r="K316">
        <v>1965</v>
      </c>
      <c r="L316">
        <v>1</v>
      </c>
      <c r="M316">
        <v>500000</v>
      </c>
      <c r="N316">
        <v>1957</v>
      </c>
      <c r="O316">
        <v>10</v>
      </c>
      <c r="P316">
        <v>349000</v>
      </c>
    </row>
    <row r="317" spans="11:16">
      <c r="K317">
        <v>1965</v>
      </c>
      <c r="L317">
        <v>28</v>
      </c>
      <c r="M317">
        <v>499000</v>
      </c>
      <c r="N317">
        <v>1957</v>
      </c>
      <c r="O317">
        <v>10</v>
      </c>
      <c r="P317">
        <v>349000</v>
      </c>
    </row>
    <row r="318" spans="11:16">
      <c r="K318">
        <v>1965</v>
      </c>
      <c r="L318">
        <v>25</v>
      </c>
      <c r="M318">
        <v>499000</v>
      </c>
      <c r="N318">
        <v>1957</v>
      </c>
      <c r="O318">
        <v>9</v>
      </c>
      <c r="P318">
        <v>349000</v>
      </c>
    </row>
    <row r="319" spans="11:16">
      <c r="K319">
        <v>1965</v>
      </c>
      <c r="L319">
        <v>22</v>
      </c>
      <c r="M319">
        <v>499000</v>
      </c>
      <c r="N319">
        <v>1957</v>
      </c>
      <c r="O319">
        <v>6</v>
      </c>
      <c r="P319">
        <v>349000</v>
      </c>
    </row>
    <row r="320" spans="11:16">
      <c r="K320">
        <v>1965</v>
      </c>
      <c r="L320">
        <v>22</v>
      </c>
      <c r="M320">
        <v>499000</v>
      </c>
      <c r="N320">
        <v>1957</v>
      </c>
      <c r="O320">
        <v>4</v>
      </c>
      <c r="P320">
        <v>349000</v>
      </c>
    </row>
    <row r="321" spans="11:16">
      <c r="K321">
        <v>1965</v>
      </c>
      <c r="L321">
        <v>21</v>
      </c>
      <c r="M321">
        <v>499000</v>
      </c>
      <c r="N321">
        <v>1957</v>
      </c>
      <c r="O321">
        <v>3</v>
      </c>
      <c r="P321">
        <v>349000</v>
      </c>
    </row>
    <row r="322" spans="11:16">
      <c r="K322">
        <v>1965</v>
      </c>
      <c r="L322">
        <v>20</v>
      </c>
      <c r="M322">
        <v>499000</v>
      </c>
      <c r="N322">
        <v>1957</v>
      </c>
      <c r="O322">
        <v>5</v>
      </c>
      <c r="P322">
        <v>299000</v>
      </c>
    </row>
    <row r="323" spans="11:16">
      <c r="K323">
        <v>1965</v>
      </c>
      <c r="L323">
        <v>20</v>
      </c>
      <c r="M323">
        <v>499000</v>
      </c>
      <c r="N323">
        <v>1957</v>
      </c>
      <c r="O323">
        <v>3</v>
      </c>
      <c r="P323">
        <v>299000</v>
      </c>
    </row>
    <row r="324" spans="11:16">
      <c r="K324">
        <v>1965</v>
      </c>
      <c r="L324">
        <v>18</v>
      </c>
      <c r="M324">
        <v>499000</v>
      </c>
      <c r="N324">
        <v>1957</v>
      </c>
      <c r="O324">
        <v>2</v>
      </c>
      <c r="P324">
        <v>299000</v>
      </c>
    </row>
    <row r="325" spans="11:16">
      <c r="K325">
        <v>1965</v>
      </c>
      <c r="L325">
        <v>17</v>
      </c>
      <c r="M325">
        <v>499000</v>
      </c>
      <c r="N325">
        <v>1957</v>
      </c>
      <c r="O325">
        <v>2</v>
      </c>
      <c r="P325">
        <v>299000</v>
      </c>
    </row>
    <row r="326" spans="11:16">
      <c r="K326">
        <v>1965</v>
      </c>
      <c r="L326">
        <v>1</v>
      </c>
      <c r="M326">
        <v>490000</v>
      </c>
      <c r="N326">
        <v>1957</v>
      </c>
      <c r="O326">
        <v>2</v>
      </c>
      <c r="P326">
        <v>299000</v>
      </c>
    </row>
    <row r="327" spans="11:16">
      <c r="K327">
        <v>1965</v>
      </c>
      <c r="L327">
        <v>1</v>
      </c>
      <c r="M327">
        <v>490000</v>
      </c>
      <c r="N327">
        <v>1957</v>
      </c>
      <c r="O327">
        <v>1</v>
      </c>
      <c r="P327">
        <v>200000</v>
      </c>
    </row>
    <row r="328" spans="11:16">
      <c r="K328">
        <v>1965</v>
      </c>
      <c r="L328">
        <v>1</v>
      </c>
      <c r="M328">
        <v>488000</v>
      </c>
      <c r="N328">
        <v>1957</v>
      </c>
      <c r="O328">
        <v>1</v>
      </c>
      <c r="P328">
        <v>160000</v>
      </c>
    </row>
    <row r="329" spans="11:16">
      <c r="K329">
        <v>1965</v>
      </c>
      <c r="L329">
        <v>1</v>
      </c>
      <c r="M329">
        <v>488000</v>
      </c>
      <c r="N329">
        <v>1957</v>
      </c>
      <c r="O329">
        <v>1</v>
      </c>
      <c r="P329">
        <v>80000</v>
      </c>
    </row>
    <row r="330" spans="11:16">
      <c r="K330">
        <v>1965</v>
      </c>
      <c r="L330">
        <v>2</v>
      </c>
      <c r="M330">
        <v>481000</v>
      </c>
      <c r="N330">
        <v>1957</v>
      </c>
      <c r="O330">
        <v>1</v>
      </c>
      <c r="P330">
        <v>39900</v>
      </c>
    </row>
    <row r="331" spans="11:16">
      <c r="K331">
        <v>1965</v>
      </c>
      <c r="L331">
        <v>1</v>
      </c>
      <c r="M331">
        <v>481000</v>
      </c>
    </row>
    <row r="332" spans="11:16">
      <c r="K332">
        <v>1965</v>
      </c>
      <c r="L332">
        <v>1</v>
      </c>
      <c r="M332">
        <v>479000</v>
      </c>
    </row>
    <row r="333" spans="11:16">
      <c r="K333">
        <v>1965</v>
      </c>
      <c r="L333">
        <v>5</v>
      </c>
      <c r="M333">
        <v>469000</v>
      </c>
    </row>
    <row r="334" spans="11:16">
      <c r="K334">
        <v>1965</v>
      </c>
      <c r="L334">
        <v>4</v>
      </c>
      <c r="M334">
        <v>469000</v>
      </c>
    </row>
    <row r="335" spans="11:16">
      <c r="K335">
        <v>1965</v>
      </c>
      <c r="L335">
        <v>4</v>
      </c>
      <c r="M335">
        <v>469000</v>
      </c>
    </row>
    <row r="336" spans="11:16">
      <c r="K336">
        <v>1965</v>
      </c>
      <c r="L336">
        <v>3</v>
      </c>
      <c r="M336">
        <v>469000</v>
      </c>
    </row>
    <row r="337" spans="11:13">
      <c r="K337">
        <v>1965</v>
      </c>
      <c r="L337">
        <v>2</v>
      </c>
      <c r="M337">
        <v>469000</v>
      </c>
    </row>
    <row r="338" spans="11:13">
      <c r="K338">
        <v>1966</v>
      </c>
      <c r="L338">
        <v>1</v>
      </c>
      <c r="M338">
        <v>469000</v>
      </c>
    </row>
    <row r="339" spans="11:13">
      <c r="K339">
        <v>1966</v>
      </c>
      <c r="L339">
        <v>1</v>
      </c>
      <c r="M339">
        <v>469000</v>
      </c>
    </row>
    <row r="340" spans="11:13">
      <c r="K340">
        <v>1966</v>
      </c>
      <c r="L340">
        <v>1</v>
      </c>
      <c r="M340">
        <v>450000</v>
      </c>
    </row>
    <row r="341" spans="11:13">
      <c r="K341">
        <v>1966</v>
      </c>
      <c r="L341">
        <v>32</v>
      </c>
      <c r="M341">
        <v>449000</v>
      </c>
    </row>
    <row r="342" spans="11:13">
      <c r="K342">
        <v>1966</v>
      </c>
      <c r="L342">
        <v>31</v>
      </c>
      <c r="M342">
        <v>449000</v>
      </c>
    </row>
    <row r="343" spans="11:13">
      <c r="K343">
        <v>1966</v>
      </c>
      <c r="L343">
        <v>24</v>
      </c>
      <c r="M343">
        <v>449000</v>
      </c>
    </row>
    <row r="344" spans="11:13">
      <c r="K344">
        <v>1966</v>
      </c>
      <c r="L344">
        <v>24</v>
      </c>
      <c r="M344">
        <v>449000</v>
      </c>
    </row>
    <row r="345" spans="11:13">
      <c r="K345">
        <v>1966</v>
      </c>
      <c r="L345">
        <v>22</v>
      </c>
      <c r="M345">
        <v>449000</v>
      </c>
    </row>
    <row r="346" spans="11:13">
      <c r="K346">
        <v>1966</v>
      </c>
      <c r="L346">
        <v>19</v>
      </c>
      <c r="M346">
        <v>449000</v>
      </c>
    </row>
    <row r="347" spans="11:13">
      <c r="K347">
        <v>1966</v>
      </c>
      <c r="L347">
        <v>19</v>
      </c>
      <c r="M347">
        <v>449000</v>
      </c>
    </row>
    <row r="348" spans="11:13">
      <c r="K348">
        <v>1966</v>
      </c>
      <c r="L348">
        <v>16</v>
      </c>
      <c r="M348">
        <v>449000</v>
      </c>
    </row>
    <row r="349" spans="11:13">
      <c r="K349">
        <v>1966</v>
      </c>
      <c r="L349">
        <v>14</v>
      </c>
      <c r="M349">
        <v>449000</v>
      </c>
    </row>
    <row r="350" spans="11:13">
      <c r="K350">
        <v>1966</v>
      </c>
      <c r="L350">
        <v>1</v>
      </c>
      <c r="M350">
        <v>439000</v>
      </c>
    </row>
    <row r="351" spans="11:13">
      <c r="K351">
        <v>1966</v>
      </c>
      <c r="L351">
        <v>1</v>
      </c>
      <c r="M351">
        <v>439000</v>
      </c>
    </row>
    <row r="352" spans="11:13">
      <c r="K352">
        <v>1966</v>
      </c>
      <c r="L352">
        <v>2</v>
      </c>
      <c r="M352">
        <v>432000</v>
      </c>
    </row>
    <row r="353" spans="11:13">
      <c r="K353">
        <v>1966</v>
      </c>
      <c r="L353">
        <v>3</v>
      </c>
      <c r="M353">
        <v>429000</v>
      </c>
    </row>
    <row r="354" spans="11:13">
      <c r="K354">
        <v>1966</v>
      </c>
      <c r="L354">
        <v>2</v>
      </c>
      <c r="M354">
        <v>429000</v>
      </c>
    </row>
    <row r="355" spans="11:13">
      <c r="K355">
        <v>1966</v>
      </c>
      <c r="L355">
        <v>2</v>
      </c>
      <c r="M355">
        <v>429000</v>
      </c>
    </row>
    <row r="356" spans="11:13">
      <c r="K356">
        <v>1966</v>
      </c>
      <c r="L356">
        <v>1</v>
      </c>
      <c r="M356">
        <v>429000</v>
      </c>
    </row>
    <row r="357" spans="11:13">
      <c r="K357">
        <v>1966</v>
      </c>
      <c r="L357">
        <v>1</v>
      </c>
      <c r="M357">
        <v>429000</v>
      </c>
    </row>
    <row r="358" spans="11:13">
      <c r="K358">
        <v>1966</v>
      </c>
      <c r="L358">
        <v>1</v>
      </c>
      <c r="M358">
        <v>429000</v>
      </c>
    </row>
    <row r="359" spans="11:13">
      <c r="K359">
        <v>1966</v>
      </c>
      <c r="L359">
        <v>1</v>
      </c>
      <c r="M359">
        <v>429000</v>
      </c>
    </row>
    <row r="360" spans="11:13">
      <c r="K360">
        <v>1966</v>
      </c>
      <c r="L360">
        <v>1</v>
      </c>
      <c r="M360">
        <v>412000</v>
      </c>
    </row>
    <row r="361" spans="11:13">
      <c r="K361">
        <v>1966</v>
      </c>
      <c r="L361">
        <v>1</v>
      </c>
      <c r="M361">
        <v>412000</v>
      </c>
    </row>
    <row r="362" spans="11:13">
      <c r="K362">
        <v>1966</v>
      </c>
      <c r="L362">
        <v>1</v>
      </c>
      <c r="M362">
        <v>412000</v>
      </c>
    </row>
    <row r="363" spans="11:13">
      <c r="K363">
        <v>1966</v>
      </c>
      <c r="L363">
        <v>1</v>
      </c>
      <c r="M363">
        <v>412000</v>
      </c>
    </row>
    <row r="364" spans="11:13">
      <c r="K364">
        <v>1966</v>
      </c>
      <c r="L364">
        <v>1</v>
      </c>
      <c r="M364">
        <v>412000</v>
      </c>
    </row>
    <row r="365" spans="11:13">
      <c r="K365">
        <v>1966</v>
      </c>
      <c r="L365">
        <v>1</v>
      </c>
      <c r="M365">
        <v>400000</v>
      </c>
    </row>
    <row r="366" spans="11:13">
      <c r="K366">
        <v>1966</v>
      </c>
      <c r="L366">
        <v>1</v>
      </c>
      <c r="M366">
        <v>400000</v>
      </c>
    </row>
    <row r="367" spans="11:13">
      <c r="K367">
        <v>1966</v>
      </c>
      <c r="L367">
        <v>1</v>
      </c>
      <c r="M367">
        <v>400000</v>
      </c>
    </row>
    <row r="368" spans="11:13">
      <c r="K368">
        <v>1966</v>
      </c>
      <c r="L368">
        <v>24</v>
      </c>
      <c r="M368">
        <v>399000</v>
      </c>
    </row>
    <row r="369" spans="11:13">
      <c r="K369">
        <v>1966</v>
      </c>
      <c r="L369">
        <v>16</v>
      </c>
      <c r="M369">
        <v>399000</v>
      </c>
    </row>
    <row r="370" spans="11:13">
      <c r="K370">
        <v>1966</v>
      </c>
      <c r="L370">
        <v>13</v>
      </c>
      <c r="M370">
        <v>399000</v>
      </c>
    </row>
    <row r="371" spans="11:13">
      <c r="K371">
        <v>1966</v>
      </c>
      <c r="L371">
        <v>13</v>
      </c>
      <c r="M371">
        <v>399000</v>
      </c>
    </row>
    <row r="372" spans="11:13">
      <c r="K372">
        <v>1966</v>
      </c>
      <c r="L372">
        <v>12</v>
      </c>
      <c r="M372">
        <v>399000</v>
      </c>
    </row>
    <row r="373" spans="11:13">
      <c r="K373">
        <v>1966</v>
      </c>
      <c r="L373">
        <v>12</v>
      </c>
      <c r="M373">
        <v>399000</v>
      </c>
    </row>
    <row r="374" spans="11:13">
      <c r="K374">
        <v>1966</v>
      </c>
      <c r="L374">
        <v>9</v>
      </c>
      <c r="M374">
        <v>399000</v>
      </c>
    </row>
    <row r="375" spans="11:13">
      <c r="K375">
        <v>1966</v>
      </c>
      <c r="L375">
        <v>7</v>
      </c>
      <c r="M375">
        <v>399000</v>
      </c>
    </row>
    <row r="376" spans="11:13">
      <c r="K376">
        <v>1966</v>
      </c>
      <c r="L376">
        <v>6</v>
      </c>
      <c r="M376">
        <v>399000</v>
      </c>
    </row>
    <row r="377" spans="11:13">
      <c r="K377">
        <v>1966</v>
      </c>
      <c r="L377">
        <v>1</v>
      </c>
      <c r="M377">
        <v>395000</v>
      </c>
    </row>
    <row r="378" spans="11:13">
      <c r="K378">
        <v>1966</v>
      </c>
      <c r="L378">
        <v>1</v>
      </c>
      <c r="M378">
        <v>395000</v>
      </c>
    </row>
    <row r="379" spans="11:13">
      <c r="K379">
        <v>1966</v>
      </c>
      <c r="L379">
        <v>4</v>
      </c>
      <c r="M379">
        <v>390000</v>
      </c>
    </row>
    <row r="380" spans="11:13">
      <c r="K380">
        <v>1967</v>
      </c>
      <c r="L380">
        <v>3</v>
      </c>
      <c r="M380">
        <v>390000</v>
      </c>
    </row>
    <row r="381" spans="11:13">
      <c r="K381">
        <v>1967</v>
      </c>
      <c r="L381">
        <v>3</v>
      </c>
      <c r="M381">
        <v>390000</v>
      </c>
    </row>
    <row r="382" spans="11:13">
      <c r="K382">
        <v>1967</v>
      </c>
      <c r="L382">
        <v>2</v>
      </c>
      <c r="M382">
        <v>390000</v>
      </c>
    </row>
    <row r="383" spans="11:13">
      <c r="K383">
        <v>1967</v>
      </c>
      <c r="L383">
        <v>1</v>
      </c>
      <c r="M383">
        <v>390000</v>
      </c>
    </row>
    <row r="384" spans="11:13">
      <c r="K384">
        <v>1967</v>
      </c>
      <c r="L384">
        <v>1</v>
      </c>
      <c r="M384">
        <v>390000</v>
      </c>
    </row>
    <row r="385" spans="11:13">
      <c r="K385">
        <v>1967</v>
      </c>
      <c r="L385">
        <v>1</v>
      </c>
      <c r="M385">
        <v>390000</v>
      </c>
    </row>
    <row r="386" spans="11:13">
      <c r="K386">
        <v>1967</v>
      </c>
      <c r="L386">
        <v>1</v>
      </c>
      <c r="M386">
        <v>389000</v>
      </c>
    </row>
    <row r="387" spans="11:13">
      <c r="K387">
        <v>1967</v>
      </c>
      <c r="L387">
        <v>2</v>
      </c>
      <c r="M387">
        <v>388000</v>
      </c>
    </row>
    <row r="388" spans="11:13">
      <c r="K388">
        <v>1967</v>
      </c>
      <c r="L388">
        <v>1</v>
      </c>
      <c r="M388">
        <v>388000</v>
      </c>
    </row>
    <row r="389" spans="11:13">
      <c r="K389">
        <v>1967</v>
      </c>
      <c r="L389">
        <v>1</v>
      </c>
      <c r="M389">
        <v>388000</v>
      </c>
    </row>
    <row r="390" spans="11:13">
      <c r="K390">
        <v>1967</v>
      </c>
      <c r="L390">
        <v>2</v>
      </c>
      <c r="M390">
        <v>382000</v>
      </c>
    </row>
    <row r="391" spans="11:13">
      <c r="K391">
        <v>1967</v>
      </c>
      <c r="L391">
        <v>1</v>
      </c>
      <c r="M391">
        <v>370000</v>
      </c>
    </row>
    <row r="392" spans="11:13">
      <c r="K392">
        <v>1967</v>
      </c>
      <c r="L392">
        <v>1</v>
      </c>
      <c r="M392">
        <v>370000</v>
      </c>
    </row>
    <row r="393" spans="11:13">
      <c r="K393">
        <v>1967</v>
      </c>
      <c r="L393">
        <v>7</v>
      </c>
      <c r="M393">
        <v>369000</v>
      </c>
    </row>
    <row r="394" spans="11:13">
      <c r="K394">
        <v>1967</v>
      </c>
      <c r="L394">
        <v>7</v>
      </c>
      <c r="M394">
        <v>369000</v>
      </c>
    </row>
    <row r="395" spans="11:13">
      <c r="K395">
        <v>1967</v>
      </c>
      <c r="L395">
        <v>4</v>
      </c>
      <c r="M395">
        <v>369000</v>
      </c>
    </row>
    <row r="396" spans="11:13">
      <c r="K396">
        <v>1967</v>
      </c>
      <c r="L396">
        <v>4</v>
      </c>
      <c r="M396">
        <v>369000</v>
      </c>
    </row>
    <row r="397" spans="11:13">
      <c r="K397">
        <v>1967</v>
      </c>
      <c r="L397">
        <v>3</v>
      </c>
      <c r="M397">
        <v>369000</v>
      </c>
    </row>
    <row r="398" spans="11:13">
      <c r="K398">
        <v>1967</v>
      </c>
      <c r="L398">
        <v>3</v>
      </c>
      <c r="M398">
        <v>369000</v>
      </c>
    </row>
    <row r="399" spans="11:13">
      <c r="K399">
        <v>1967</v>
      </c>
      <c r="L399">
        <v>2</v>
      </c>
      <c r="M399">
        <v>369000</v>
      </c>
    </row>
    <row r="400" spans="11:13">
      <c r="K400">
        <v>1967</v>
      </c>
      <c r="L400">
        <v>1</v>
      </c>
      <c r="M400">
        <v>369000</v>
      </c>
    </row>
    <row r="401" spans="11:13">
      <c r="K401">
        <v>1967</v>
      </c>
      <c r="L401">
        <v>1</v>
      </c>
      <c r="M401">
        <v>369000</v>
      </c>
    </row>
    <row r="402" spans="11:13">
      <c r="K402">
        <v>1967</v>
      </c>
      <c r="L402">
        <v>1</v>
      </c>
      <c r="M402">
        <v>359000</v>
      </c>
    </row>
    <row r="403" spans="11:13">
      <c r="K403">
        <v>1967</v>
      </c>
      <c r="L403">
        <v>1</v>
      </c>
      <c r="M403">
        <v>358000</v>
      </c>
    </row>
    <row r="404" spans="11:13">
      <c r="K404">
        <v>1967</v>
      </c>
      <c r="L404">
        <v>1</v>
      </c>
      <c r="M404">
        <v>352000</v>
      </c>
    </row>
    <row r="405" spans="11:13">
      <c r="K405">
        <v>1967</v>
      </c>
      <c r="L405">
        <v>12</v>
      </c>
      <c r="M405">
        <v>349000</v>
      </c>
    </row>
    <row r="406" spans="11:13">
      <c r="K406">
        <v>1967</v>
      </c>
      <c r="L406">
        <v>10</v>
      </c>
      <c r="M406">
        <v>349000</v>
      </c>
    </row>
    <row r="407" spans="11:13">
      <c r="K407">
        <v>1967</v>
      </c>
      <c r="L407">
        <v>9</v>
      </c>
      <c r="M407">
        <v>349000</v>
      </c>
    </row>
    <row r="408" spans="11:13">
      <c r="K408">
        <v>1967</v>
      </c>
      <c r="L408">
        <v>9</v>
      </c>
      <c r="M408">
        <v>349000</v>
      </c>
    </row>
    <row r="409" spans="11:13">
      <c r="K409">
        <v>1967</v>
      </c>
      <c r="L409">
        <v>9</v>
      </c>
      <c r="M409">
        <v>349000</v>
      </c>
    </row>
    <row r="410" spans="11:13">
      <c r="K410">
        <v>1967</v>
      </c>
      <c r="L410">
        <v>8</v>
      </c>
      <c r="M410">
        <v>349000</v>
      </c>
    </row>
    <row r="411" spans="11:13">
      <c r="K411">
        <v>1967</v>
      </c>
      <c r="L411">
        <v>5</v>
      </c>
      <c r="M411">
        <v>349000</v>
      </c>
    </row>
    <row r="412" spans="11:13">
      <c r="K412">
        <v>1967</v>
      </c>
      <c r="L412">
        <v>2</v>
      </c>
      <c r="M412">
        <v>349000</v>
      </c>
    </row>
    <row r="413" spans="11:13">
      <c r="K413">
        <v>1967</v>
      </c>
      <c r="L413">
        <v>1</v>
      </c>
      <c r="M413">
        <v>349000</v>
      </c>
    </row>
    <row r="414" spans="11:13">
      <c r="K414">
        <v>1967</v>
      </c>
      <c r="L414">
        <v>2</v>
      </c>
      <c r="M414">
        <v>299000</v>
      </c>
    </row>
    <row r="415" spans="11:13">
      <c r="K415">
        <v>1967</v>
      </c>
      <c r="L415">
        <v>2</v>
      </c>
      <c r="M415">
        <v>299000</v>
      </c>
    </row>
    <row r="416" spans="11:13">
      <c r="K416">
        <v>1967</v>
      </c>
      <c r="L416">
        <v>1</v>
      </c>
      <c r="M416">
        <v>299000</v>
      </c>
    </row>
    <row r="417" spans="11:13">
      <c r="K417">
        <v>1967</v>
      </c>
      <c r="L417">
        <v>1</v>
      </c>
      <c r="M417">
        <v>299000</v>
      </c>
    </row>
    <row r="418" spans="11:13">
      <c r="K418">
        <v>1967</v>
      </c>
      <c r="L418">
        <v>1</v>
      </c>
      <c r="M418">
        <v>299000</v>
      </c>
    </row>
    <row r="419" spans="11:13">
      <c r="K419">
        <v>1967</v>
      </c>
      <c r="L419">
        <v>1</v>
      </c>
      <c r="M419">
        <v>70840</v>
      </c>
    </row>
    <row r="420" spans="11:13">
      <c r="K420">
        <v>1968</v>
      </c>
      <c r="L420">
        <v>1</v>
      </c>
      <c r="M420">
        <v>50000</v>
      </c>
    </row>
    <row r="427" spans="11:13">
      <c r="L427">
        <f>AVERAGE(M7:M420)</f>
        <v>821555.16908212565</v>
      </c>
    </row>
  </sheetData>
  <mergeCells count="12">
    <mergeCell ref="AC2:AJ2"/>
    <mergeCell ref="U2:AA2"/>
    <mergeCell ref="U10:AA10"/>
    <mergeCell ref="B2:S2"/>
    <mergeCell ref="B3:S3"/>
    <mergeCell ref="B4:D4"/>
    <mergeCell ref="E4:G4"/>
    <mergeCell ref="H4:J4"/>
    <mergeCell ref="K4:M4"/>
    <mergeCell ref="N4:P4"/>
    <mergeCell ref="Q4:S4"/>
    <mergeCell ref="AC3:AJ43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C161"/>
  <sheetViews>
    <sheetView topLeftCell="Q34" workbookViewId="0">
      <selection activeCell="W29" sqref="W29:AB62"/>
    </sheetView>
  </sheetViews>
  <sheetFormatPr defaultRowHeight="16.5"/>
  <cols>
    <col min="2" max="2" width="8.75" bestFit="1" customWidth="1"/>
    <col min="4" max="4" width="11.5" bestFit="1" customWidth="1"/>
    <col min="7" max="7" width="12.75" bestFit="1" customWidth="1"/>
    <col min="11" max="11" width="12.75" bestFit="1" customWidth="1"/>
    <col min="14" max="14" width="12.375" bestFit="1" customWidth="1"/>
    <col min="18" max="18" width="12.75" bestFit="1" customWidth="1"/>
    <col min="21" max="21" width="12.75" bestFit="1" customWidth="1"/>
    <col min="23" max="23" width="12" bestFit="1" customWidth="1"/>
  </cols>
  <sheetData>
    <row r="2" spans="2:27">
      <c r="B2" s="124" t="s">
        <v>87</v>
      </c>
      <c r="C2" s="124"/>
      <c r="D2" s="124"/>
      <c r="E2" s="124" t="s">
        <v>88</v>
      </c>
      <c r="F2" s="124"/>
      <c r="G2" s="124"/>
      <c r="I2" s="124" t="s">
        <v>89</v>
      </c>
      <c r="J2" s="124"/>
      <c r="K2" s="124"/>
      <c r="L2" s="124" t="s">
        <v>90</v>
      </c>
      <c r="M2" s="124"/>
      <c r="N2" s="124"/>
      <c r="P2" s="124" t="s">
        <v>91</v>
      </c>
      <c r="Q2" s="124"/>
      <c r="R2" s="124"/>
      <c r="S2" s="124" t="s">
        <v>92</v>
      </c>
      <c r="T2" s="124"/>
      <c r="U2" s="124"/>
    </row>
    <row r="3" spans="2:27">
      <c r="B3" s="89" t="s">
        <v>93</v>
      </c>
      <c r="C3" s="89" t="s">
        <v>94</v>
      </c>
      <c r="D3" s="89" t="s">
        <v>95</v>
      </c>
      <c r="E3" s="89" t="s">
        <v>93</v>
      </c>
      <c r="F3" s="89" t="s">
        <v>94</v>
      </c>
      <c r="G3" s="89" t="s">
        <v>95</v>
      </c>
      <c r="I3" s="89" t="s">
        <v>93</v>
      </c>
      <c r="J3" s="89" t="s">
        <v>94</v>
      </c>
      <c r="K3" s="89" t="s">
        <v>95</v>
      </c>
      <c r="L3" s="89" t="s">
        <v>93</v>
      </c>
      <c r="M3" s="89" t="s">
        <v>94</v>
      </c>
      <c r="N3" s="89" t="s">
        <v>95</v>
      </c>
      <c r="P3" s="89" t="s">
        <v>93</v>
      </c>
      <c r="Q3" s="89" t="s">
        <v>94</v>
      </c>
      <c r="R3" s="89" t="s">
        <v>95</v>
      </c>
      <c r="S3" s="89" t="s">
        <v>93</v>
      </c>
      <c r="T3" s="89" t="s">
        <v>94</v>
      </c>
      <c r="U3" s="89" t="s">
        <v>95</v>
      </c>
      <c r="W3" s="143" t="s">
        <v>32</v>
      </c>
      <c r="X3" s="143"/>
      <c r="Y3" s="99" t="s">
        <v>96</v>
      </c>
      <c r="Z3" s="99" t="s">
        <v>34</v>
      </c>
      <c r="AA3" s="99" t="s">
        <v>35</v>
      </c>
    </row>
    <row r="4" spans="2:27">
      <c r="B4" s="4" t="s">
        <v>1088</v>
      </c>
      <c r="C4" s="4">
        <v>3</v>
      </c>
      <c r="D4" s="4">
        <v>1479000</v>
      </c>
      <c r="E4" s="71" t="s">
        <v>31</v>
      </c>
      <c r="F4" s="71">
        <v>7</v>
      </c>
      <c r="G4" s="71">
        <v>1599000</v>
      </c>
      <c r="I4" s="4" t="s">
        <v>29</v>
      </c>
      <c r="J4" s="4">
        <v>7</v>
      </c>
      <c r="K4" s="4">
        <v>1499000</v>
      </c>
      <c r="L4" s="4" t="s">
        <v>31</v>
      </c>
      <c r="M4" s="4">
        <v>5</v>
      </c>
      <c r="N4" s="4">
        <v>1499000</v>
      </c>
      <c r="P4" s="4" t="s">
        <v>29</v>
      </c>
      <c r="Q4" s="4">
        <v>18</v>
      </c>
      <c r="R4" s="90">
        <v>1556000</v>
      </c>
      <c r="S4" s="4" t="s">
        <v>31</v>
      </c>
      <c r="T4" s="4">
        <v>10</v>
      </c>
      <c r="U4" s="4">
        <v>1556000</v>
      </c>
      <c r="W4" s="144" t="s">
        <v>97</v>
      </c>
      <c r="X4" s="12" t="s">
        <v>37</v>
      </c>
      <c r="Y4" s="94">
        <v>10</v>
      </c>
      <c r="Z4" s="94">
        <v>176</v>
      </c>
      <c r="AA4" s="94">
        <v>21</v>
      </c>
    </row>
    <row r="5" spans="2:27">
      <c r="B5" s="4" t="s">
        <v>29</v>
      </c>
      <c r="C5" s="4">
        <v>4</v>
      </c>
      <c r="D5" s="4">
        <v>1449000</v>
      </c>
      <c r="E5" s="71" t="s">
        <v>31</v>
      </c>
      <c r="F5" s="71">
        <v>4</v>
      </c>
      <c r="G5" s="71">
        <v>1479000</v>
      </c>
      <c r="I5" s="4" t="s">
        <v>29</v>
      </c>
      <c r="J5" s="4">
        <v>25</v>
      </c>
      <c r="K5" s="4">
        <v>1449000</v>
      </c>
      <c r="L5" s="4" t="s">
        <v>31</v>
      </c>
      <c r="M5" s="4">
        <v>16</v>
      </c>
      <c r="N5" s="4">
        <v>1449000</v>
      </c>
      <c r="P5" s="4" t="s">
        <v>29</v>
      </c>
      <c r="Q5" s="4">
        <v>10</v>
      </c>
      <c r="R5" s="90">
        <v>1549000</v>
      </c>
      <c r="S5" s="4" t="s">
        <v>31</v>
      </c>
      <c r="T5" s="4">
        <v>8</v>
      </c>
      <c r="U5" s="4">
        <v>1549000</v>
      </c>
      <c r="W5" s="144"/>
      <c r="X5" s="12" t="s">
        <v>38</v>
      </c>
      <c r="Y5" s="94">
        <v>21</v>
      </c>
      <c r="Z5" s="94">
        <v>296</v>
      </c>
      <c r="AA5" s="94">
        <v>19</v>
      </c>
    </row>
    <row r="6" spans="2:27">
      <c r="B6" s="4" t="s">
        <v>29</v>
      </c>
      <c r="C6" s="4">
        <v>3</v>
      </c>
      <c r="D6" s="4">
        <v>1429000</v>
      </c>
      <c r="E6" s="71" t="s">
        <v>31</v>
      </c>
      <c r="F6" s="71">
        <v>3</v>
      </c>
      <c r="G6" s="71">
        <v>1449000</v>
      </c>
      <c r="I6" s="4" t="s">
        <v>29</v>
      </c>
      <c r="J6" s="4">
        <v>14</v>
      </c>
      <c r="K6" s="4">
        <v>1399000</v>
      </c>
      <c r="L6" s="4" t="s">
        <v>31</v>
      </c>
      <c r="M6" s="4">
        <v>8</v>
      </c>
      <c r="N6" s="4">
        <v>1399000</v>
      </c>
      <c r="P6" s="4" t="s">
        <v>29</v>
      </c>
      <c r="Q6" s="4">
        <v>13</v>
      </c>
      <c r="R6" s="90">
        <v>1449000</v>
      </c>
      <c r="S6" s="4" t="s">
        <v>31</v>
      </c>
      <c r="T6" s="4">
        <v>7</v>
      </c>
      <c r="U6" s="4">
        <v>1449000</v>
      </c>
      <c r="W6" s="144" t="s">
        <v>98</v>
      </c>
      <c r="X6" s="12" t="s">
        <v>37</v>
      </c>
      <c r="Y6" s="94">
        <v>162</v>
      </c>
      <c r="Z6" s="94">
        <v>547</v>
      </c>
      <c r="AA6" s="94">
        <v>1086</v>
      </c>
    </row>
    <row r="7" spans="2:27">
      <c r="B7" s="4" t="s">
        <v>29</v>
      </c>
      <c r="C7" s="4">
        <v>19</v>
      </c>
      <c r="D7" s="4">
        <v>1399000</v>
      </c>
      <c r="E7" s="71" t="s">
        <v>31</v>
      </c>
      <c r="F7" s="71">
        <v>3</v>
      </c>
      <c r="G7" s="71">
        <v>1429000</v>
      </c>
      <c r="I7" s="4" t="s">
        <v>29</v>
      </c>
      <c r="J7" s="4">
        <v>6</v>
      </c>
      <c r="K7" s="4">
        <v>1369000</v>
      </c>
      <c r="L7" s="4" t="s">
        <v>31</v>
      </c>
      <c r="M7" s="4">
        <v>1</v>
      </c>
      <c r="N7" s="4">
        <v>1350000</v>
      </c>
      <c r="P7" s="4" t="s">
        <v>29</v>
      </c>
      <c r="Q7" s="4">
        <v>1</v>
      </c>
      <c r="R7" s="90">
        <v>1429000</v>
      </c>
      <c r="S7" s="4" t="s">
        <v>31</v>
      </c>
      <c r="T7" s="4">
        <v>1</v>
      </c>
      <c r="U7" s="4">
        <v>1429000</v>
      </c>
      <c r="W7" s="144"/>
      <c r="X7" s="12" t="s">
        <v>38</v>
      </c>
      <c r="Y7" s="94">
        <v>440</v>
      </c>
      <c r="Z7" s="94">
        <v>646</v>
      </c>
      <c r="AA7" s="94">
        <v>1625</v>
      </c>
    </row>
    <row r="8" spans="2:27">
      <c r="B8" s="4" t="s">
        <v>29</v>
      </c>
      <c r="C8" s="4">
        <v>20</v>
      </c>
      <c r="D8" s="4">
        <v>1349000</v>
      </c>
      <c r="E8" s="71" t="s">
        <v>31</v>
      </c>
      <c r="F8" s="71">
        <v>5</v>
      </c>
      <c r="G8" s="71">
        <v>1399000</v>
      </c>
      <c r="I8" s="4" t="s">
        <v>29</v>
      </c>
      <c r="J8" s="4">
        <v>2</v>
      </c>
      <c r="K8" s="4">
        <v>1350000</v>
      </c>
      <c r="L8" s="4" t="s">
        <v>31</v>
      </c>
      <c r="M8" s="4">
        <v>1</v>
      </c>
      <c r="N8" s="4">
        <v>1349000</v>
      </c>
      <c r="P8" s="4" t="s">
        <v>29</v>
      </c>
      <c r="Q8" s="4">
        <v>11</v>
      </c>
      <c r="R8" s="90">
        <v>1399000</v>
      </c>
      <c r="S8" s="4" t="s">
        <v>31</v>
      </c>
      <c r="T8" s="4">
        <v>5</v>
      </c>
      <c r="U8" s="4">
        <v>1399000</v>
      </c>
      <c r="W8" s="144" t="s">
        <v>99</v>
      </c>
      <c r="X8" s="12" t="s">
        <v>37</v>
      </c>
      <c r="Y8" s="94">
        <v>513</v>
      </c>
      <c r="Z8" s="94">
        <v>334</v>
      </c>
      <c r="AA8" s="94">
        <v>690</v>
      </c>
    </row>
    <row r="9" spans="2:27">
      <c r="B9" s="4" t="s">
        <v>29</v>
      </c>
      <c r="C9" s="4">
        <v>2</v>
      </c>
      <c r="D9" s="4">
        <v>1327000</v>
      </c>
      <c r="E9" s="71" t="s">
        <v>31</v>
      </c>
      <c r="F9" s="71">
        <v>15</v>
      </c>
      <c r="G9" s="71">
        <v>1349000</v>
      </c>
      <c r="I9" s="4" t="s">
        <v>29</v>
      </c>
      <c r="J9" s="4">
        <v>3</v>
      </c>
      <c r="K9" s="4">
        <v>1349000</v>
      </c>
      <c r="L9" s="4" t="s">
        <v>31</v>
      </c>
      <c r="M9" s="4">
        <v>1</v>
      </c>
      <c r="N9" s="4">
        <v>1325000</v>
      </c>
      <c r="P9" s="4" t="s">
        <v>29</v>
      </c>
      <c r="Q9" s="4">
        <v>59</v>
      </c>
      <c r="R9" s="90">
        <v>1390000</v>
      </c>
      <c r="S9" s="4" t="s">
        <v>31</v>
      </c>
      <c r="T9" s="4">
        <v>34</v>
      </c>
      <c r="U9" s="4">
        <v>1390000</v>
      </c>
      <c r="W9" s="144"/>
      <c r="X9" s="12" t="s">
        <v>38</v>
      </c>
      <c r="Y9" s="94">
        <v>958</v>
      </c>
      <c r="Z9" s="94">
        <v>537</v>
      </c>
      <c r="AA9" s="94">
        <v>1084</v>
      </c>
    </row>
    <row r="10" spans="2:27">
      <c r="B10" s="4" t="s">
        <v>29</v>
      </c>
      <c r="C10" s="4">
        <v>39</v>
      </c>
      <c r="D10" s="4">
        <v>1299000</v>
      </c>
      <c r="E10" s="71" t="s">
        <v>31</v>
      </c>
      <c r="F10" s="71">
        <v>1</v>
      </c>
      <c r="G10" s="71">
        <v>1327000</v>
      </c>
      <c r="I10" s="4" t="s">
        <v>29</v>
      </c>
      <c r="J10" s="4">
        <v>1</v>
      </c>
      <c r="K10" s="4">
        <v>1325000</v>
      </c>
      <c r="L10" s="4" t="s">
        <v>31</v>
      </c>
      <c r="M10" s="4">
        <v>9</v>
      </c>
      <c r="N10" s="4">
        <v>1299000</v>
      </c>
      <c r="P10" s="4" t="s">
        <v>29</v>
      </c>
      <c r="Q10" s="4">
        <v>2</v>
      </c>
      <c r="R10" s="90">
        <v>1369000</v>
      </c>
      <c r="S10" s="4" t="s">
        <v>31</v>
      </c>
      <c r="T10" s="4">
        <v>5</v>
      </c>
      <c r="U10" s="4">
        <v>1369000</v>
      </c>
      <c r="W10" s="144" t="s">
        <v>100</v>
      </c>
      <c r="X10" s="12" t="s">
        <v>37</v>
      </c>
      <c r="Y10" s="94">
        <v>326</v>
      </c>
      <c r="Z10" s="94">
        <v>306</v>
      </c>
      <c r="AA10" s="94">
        <v>271</v>
      </c>
    </row>
    <row r="11" spans="2:27">
      <c r="B11" s="4" t="s">
        <v>29</v>
      </c>
      <c r="C11" s="4">
        <v>1</v>
      </c>
      <c r="D11" s="4">
        <v>1290000</v>
      </c>
      <c r="E11" s="71" t="s">
        <v>31</v>
      </c>
      <c r="F11" s="71">
        <v>29</v>
      </c>
      <c r="G11" s="71">
        <v>1299000</v>
      </c>
      <c r="I11" s="4" t="s">
        <v>29</v>
      </c>
      <c r="J11" s="4">
        <v>23</v>
      </c>
      <c r="K11" s="4">
        <v>1299000</v>
      </c>
      <c r="L11" s="4" t="s">
        <v>31</v>
      </c>
      <c r="M11" s="4">
        <v>7</v>
      </c>
      <c r="N11" s="4">
        <v>1289000</v>
      </c>
      <c r="P11" s="4" t="s">
        <v>29</v>
      </c>
      <c r="Q11" s="4">
        <v>3</v>
      </c>
      <c r="R11" s="90">
        <v>1353000</v>
      </c>
      <c r="S11" s="4" t="s">
        <v>31</v>
      </c>
      <c r="T11" s="4">
        <v>3</v>
      </c>
      <c r="U11" s="4">
        <v>1353000</v>
      </c>
      <c r="W11" s="144"/>
      <c r="X11" s="95" t="s">
        <v>38</v>
      </c>
      <c r="Y11" s="96">
        <v>602</v>
      </c>
      <c r="Z11" s="96">
        <v>614</v>
      </c>
      <c r="AA11" s="96">
        <v>347</v>
      </c>
    </row>
    <row r="12" spans="2:27">
      <c r="B12" s="4" t="s">
        <v>29</v>
      </c>
      <c r="C12" s="4">
        <v>16</v>
      </c>
      <c r="D12" s="4">
        <v>1289000</v>
      </c>
      <c r="E12" s="71" t="s">
        <v>31</v>
      </c>
      <c r="F12" s="71">
        <v>2</v>
      </c>
      <c r="G12" s="71">
        <v>1289000</v>
      </c>
      <c r="I12" s="4" t="s">
        <v>29</v>
      </c>
      <c r="J12" s="4">
        <v>10</v>
      </c>
      <c r="K12" s="4">
        <v>1289000</v>
      </c>
      <c r="L12" s="4" t="s">
        <v>31</v>
      </c>
      <c r="M12" s="4">
        <v>5</v>
      </c>
      <c r="N12" s="4">
        <v>1269000</v>
      </c>
      <c r="P12" s="4" t="s">
        <v>29</v>
      </c>
      <c r="Q12" s="4">
        <v>9</v>
      </c>
      <c r="R12" s="90">
        <v>1329000</v>
      </c>
      <c r="S12" s="4" t="s">
        <v>31</v>
      </c>
      <c r="T12" s="4">
        <v>4</v>
      </c>
      <c r="U12" s="4">
        <v>1349000</v>
      </c>
      <c r="W12" s="144" t="s">
        <v>101</v>
      </c>
      <c r="X12" s="12" t="s">
        <v>37</v>
      </c>
      <c r="Y12" s="94">
        <v>143</v>
      </c>
      <c r="Z12" s="94">
        <v>101</v>
      </c>
      <c r="AA12" s="94">
        <v>111</v>
      </c>
    </row>
    <row r="13" spans="2:27">
      <c r="B13" s="4" t="s">
        <v>29</v>
      </c>
      <c r="C13" s="4">
        <v>5</v>
      </c>
      <c r="D13" s="4">
        <v>1260000</v>
      </c>
      <c r="E13" s="71" t="s">
        <v>31</v>
      </c>
      <c r="F13" s="71">
        <v>1</v>
      </c>
      <c r="G13" s="71">
        <v>1260000</v>
      </c>
      <c r="I13" s="4" t="s">
        <v>29</v>
      </c>
      <c r="J13" s="4">
        <v>1</v>
      </c>
      <c r="K13" s="4">
        <v>1269000</v>
      </c>
      <c r="L13" s="4" t="s">
        <v>31</v>
      </c>
      <c r="M13" s="4">
        <v>48</v>
      </c>
      <c r="N13" s="4">
        <v>1249000</v>
      </c>
      <c r="P13" s="4" t="s">
        <v>29</v>
      </c>
      <c r="Q13" s="4">
        <v>16</v>
      </c>
      <c r="R13" s="90">
        <v>1299000</v>
      </c>
      <c r="S13" s="4" t="s">
        <v>31</v>
      </c>
      <c r="T13" s="4">
        <v>5</v>
      </c>
      <c r="U13" s="4">
        <v>1329000</v>
      </c>
      <c r="W13" s="144"/>
      <c r="X13" s="12" t="s">
        <v>38</v>
      </c>
      <c r="Y13" s="94">
        <v>273</v>
      </c>
      <c r="Z13" s="94">
        <v>183</v>
      </c>
      <c r="AA13" s="94">
        <v>180</v>
      </c>
    </row>
    <row r="14" spans="2:27">
      <c r="B14" s="4" t="s">
        <v>29</v>
      </c>
      <c r="C14" s="4">
        <v>89</v>
      </c>
      <c r="D14" s="4">
        <v>1249000</v>
      </c>
      <c r="E14" s="71" t="s">
        <v>31</v>
      </c>
      <c r="F14" s="71">
        <v>39</v>
      </c>
      <c r="G14" s="71">
        <v>1249000</v>
      </c>
      <c r="I14" s="4" t="s">
        <v>29</v>
      </c>
      <c r="J14" s="4">
        <v>91</v>
      </c>
      <c r="K14" s="4">
        <v>1249000</v>
      </c>
      <c r="L14" s="4" t="s">
        <v>31</v>
      </c>
      <c r="M14" s="4">
        <v>35</v>
      </c>
      <c r="N14" s="4">
        <v>1199000</v>
      </c>
      <c r="P14" s="4" t="s">
        <v>29</v>
      </c>
      <c r="Q14" s="4">
        <v>24</v>
      </c>
      <c r="R14" s="90">
        <v>1269000</v>
      </c>
      <c r="S14" s="4" t="s">
        <v>31</v>
      </c>
      <c r="T14" s="4">
        <v>4</v>
      </c>
      <c r="U14" s="4">
        <v>1300000</v>
      </c>
    </row>
    <row r="15" spans="2:27">
      <c r="B15" s="4" t="s">
        <v>29</v>
      </c>
      <c r="C15" s="4">
        <v>4</v>
      </c>
      <c r="D15" s="4">
        <v>1240000</v>
      </c>
      <c r="E15" s="71" t="s">
        <v>31</v>
      </c>
      <c r="F15" s="71">
        <v>2</v>
      </c>
      <c r="G15" s="71">
        <v>1240000</v>
      </c>
      <c r="I15" s="4" t="s">
        <v>29</v>
      </c>
      <c r="J15" s="4">
        <v>84</v>
      </c>
      <c r="K15" s="4">
        <v>1199000</v>
      </c>
      <c r="L15" s="4" t="s">
        <v>31</v>
      </c>
      <c r="M15" s="4">
        <v>2</v>
      </c>
      <c r="N15" s="4">
        <v>1190000</v>
      </c>
      <c r="P15" s="4" t="s">
        <v>29</v>
      </c>
      <c r="Q15" s="4">
        <v>9</v>
      </c>
      <c r="R15" s="90">
        <v>1249000</v>
      </c>
      <c r="S15" s="4" t="s">
        <v>31</v>
      </c>
      <c r="T15" s="4">
        <v>6</v>
      </c>
      <c r="U15" s="4">
        <v>1299000</v>
      </c>
      <c r="W15" s="99" t="s">
        <v>32</v>
      </c>
      <c r="X15" s="100"/>
      <c r="Y15" s="100" t="s">
        <v>33</v>
      </c>
      <c r="Z15" s="100" t="s">
        <v>34</v>
      </c>
      <c r="AA15" s="100" t="s">
        <v>35</v>
      </c>
    </row>
    <row r="16" spans="2:27">
      <c r="B16" s="4" t="s">
        <v>29</v>
      </c>
      <c r="C16" s="4">
        <v>2</v>
      </c>
      <c r="D16" s="4">
        <v>1239000</v>
      </c>
      <c r="E16" s="71" t="s">
        <v>31</v>
      </c>
      <c r="F16" s="71">
        <v>4</v>
      </c>
      <c r="G16" s="71">
        <v>1239000</v>
      </c>
      <c r="I16" s="4" t="s">
        <v>29</v>
      </c>
      <c r="J16" s="4">
        <v>7</v>
      </c>
      <c r="K16" s="4">
        <v>1190000</v>
      </c>
      <c r="L16" s="4" t="s">
        <v>31</v>
      </c>
      <c r="M16" s="4">
        <v>22</v>
      </c>
      <c r="N16" s="4">
        <v>1189000</v>
      </c>
      <c r="P16" s="4" t="s">
        <v>29</v>
      </c>
      <c r="Q16" s="4">
        <v>5</v>
      </c>
      <c r="R16" s="90">
        <v>1209000</v>
      </c>
      <c r="S16" s="4" t="s">
        <v>31</v>
      </c>
      <c r="T16" s="4">
        <v>2</v>
      </c>
      <c r="U16" s="4">
        <v>1290000</v>
      </c>
      <c r="W16" s="145" t="s">
        <v>1089</v>
      </c>
      <c r="X16" s="92" t="s">
        <v>37</v>
      </c>
      <c r="Y16" s="93">
        <v>0.01</v>
      </c>
      <c r="Z16" s="93">
        <v>0.12</v>
      </c>
      <c r="AA16" s="93">
        <v>0.01</v>
      </c>
    </row>
    <row r="17" spans="2:29">
      <c r="B17" s="4" t="s">
        <v>29</v>
      </c>
      <c r="C17" s="4">
        <v>2</v>
      </c>
      <c r="D17" s="4">
        <v>1230000</v>
      </c>
      <c r="E17" s="71" t="s">
        <v>31</v>
      </c>
      <c r="F17" s="71">
        <v>6</v>
      </c>
      <c r="G17" s="71">
        <v>1230000</v>
      </c>
      <c r="I17" s="4" t="s">
        <v>29</v>
      </c>
      <c r="J17" s="4">
        <v>86</v>
      </c>
      <c r="K17" s="4">
        <v>1189000</v>
      </c>
      <c r="L17" s="4" t="s">
        <v>31</v>
      </c>
      <c r="M17" s="4">
        <v>5</v>
      </c>
      <c r="N17" s="4">
        <v>1179000</v>
      </c>
      <c r="P17" s="4" t="s">
        <v>29</v>
      </c>
      <c r="Q17" s="4">
        <v>24</v>
      </c>
      <c r="R17" s="90">
        <v>1199000</v>
      </c>
      <c r="S17" s="4" t="s">
        <v>31</v>
      </c>
      <c r="T17" s="4">
        <v>9</v>
      </c>
      <c r="U17" s="4">
        <v>1269000</v>
      </c>
      <c r="W17" s="146"/>
      <c r="X17" s="92" t="s">
        <v>38</v>
      </c>
      <c r="Y17" s="93">
        <v>0.01</v>
      </c>
      <c r="Z17" s="93">
        <v>0.13</v>
      </c>
      <c r="AA17" s="93">
        <v>0.01</v>
      </c>
    </row>
    <row r="18" spans="2:29">
      <c r="B18" s="4" t="s">
        <v>29</v>
      </c>
      <c r="C18" s="4">
        <v>23</v>
      </c>
      <c r="D18" s="4">
        <v>1229000</v>
      </c>
      <c r="E18" s="71" t="s">
        <v>31</v>
      </c>
      <c r="F18" s="71">
        <v>9</v>
      </c>
      <c r="G18" s="71">
        <v>1229000</v>
      </c>
      <c r="I18" s="4" t="s">
        <v>29</v>
      </c>
      <c r="J18" s="4">
        <v>5</v>
      </c>
      <c r="K18" s="4">
        <v>1179000</v>
      </c>
      <c r="L18" s="4" t="s">
        <v>31</v>
      </c>
      <c r="M18" s="4">
        <v>1</v>
      </c>
      <c r="N18" s="4">
        <v>1159000</v>
      </c>
      <c r="P18" s="4" t="s">
        <v>29</v>
      </c>
      <c r="Q18" s="4">
        <v>46</v>
      </c>
      <c r="R18" s="90">
        <v>1190000</v>
      </c>
      <c r="S18" s="4" t="s">
        <v>31</v>
      </c>
      <c r="T18" s="4">
        <v>7</v>
      </c>
      <c r="U18" s="4">
        <v>1249000</v>
      </c>
      <c r="W18" s="145" t="s">
        <v>1090</v>
      </c>
      <c r="X18" s="92" t="s">
        <v>37</v>
      </c>
      <c r="Y18" s="93">
        <v>0.14000000000000001</v>
      </c>
      <c r="Z18" s="93">
        <v>0.37</v>
      </c>
      <c r="AA18" s="93">
        <v>0.5</v>
      </c>
    </row>
    <row r="19" spans="2:29">
      <c r="B19" s="4" t="s">
        <v>29</v>
      </c>
      <c r="C19" s="4">
        <v>15</v>
      </c>
      <c r="D19" s="4">
        <v>1219000</v>
      </c>
      <c r="E19" s="71" t="s">
        <v>31</v>
      </c>
      <c r="F19" s="71">
        <v>13</v>
      </c>
      <c r="G19" s="71">
        <v>1209000</v>
      </c>
      <c r="I19" s="4" t="s">
        <v>29</v>
      </c>
      <c r="J19" s="4">
        <v>10</v>
      </c>
      <c r="K19" s="4">
        <v>1169000</v>
      </c>
      <c r="L19" s="4" t="s">
        <v>31</v>
      </c>
      <c r="M19" s="4">
        <v>6</v>
      </c>
      <c r="N19" s="4">
        <v>1149000</v>
      </c>
      <c r="P19" s="4" t="s">
        <v>29</v>
      </c>
      <c r="Q19" s="4">
        <v>5</v>
      </c>
      <c r="R19" s="90">
        <v>1180000</v>
      </c>
      <c r="S19" s="4" t="s">
        <v>31</v>
      </c>
      <c r="T19" s="4">
        <v>1</v>
      </c>
      <c r="U19" s="4">
        <v>1209000</v>
      </c>
      <c r="W19" s="146"/>
      <c r="X19" s="92" t="s">
        <v>38</v>
      </c>
      <c r="Y19" s="93">
        <v>0.19</v>
      </c>
      <c r="Z19" s="93">
        <v>0.28000000000000003</v>
      </c>
      <c r="AA19" s="93">
        <v>0.5</v>
      </c>
    </row>
    <row r="20" spans="2:29">
      <c r="B20" s="4" t="s">
        <v>29</v>
      </c>
      <c r="C20" s="4">
        <v>26</v>
      </c>
      <c r="D20" s="4">
        <v>1209000</v>
      </c>
      <c r="E20" s="71" t="s">
        <v>31</v>
      </c>
      <c r="F20" s="71">
        <v>23</v>
      </c>
      <c r="G20" s="71">
        <v>1199000</v>
      </c>
      <c r="I20" s="4" t="s">
        <v>29</v>
      </c>
      <c r="J20" s="4">
        <v>17</v>
      </c>
      <c r="K20" s="4">
        <v>1149000</v>
      </c>
      <c r="L20" s="4" t="s">
        <v>31</v>
      </c>
      <c r="M20" s="4">
        <v>10</v>
      </c>
      <c r="N20" s="4">
        <v>1109000</v>
      </c>
      <c r="P20" s="4" t="s">
        <v>29</v>
      </c>
      <c r="Q20" s="4">
        <v>21</v>
      </c>
      <c r="R20" s="90">
        <v>1149000</v>
      </c>
      <c r="S20" s="4" t="s">
        <v>31</v>
      </c>
      <c r="T20" s="4">
        <v>8</v>
      </c>
      <c r="U20" s="4">
        <v>1199000</v>
      </c>
      <c r="W20" s="145" t="s">
        <v>1091</v>
      </c>
      <c r="X20" s="92" t="s">
        <v>37</v>
      </c>
      <c r="Y20" s="93">
        <v>0.44</v>
      </c>
      <c r="Z20" s="93">
        <v>0.23</v>
      </c>
      <c r="AA20" s="93">
        <v>0.32</v>
      </c>
    </row>
    <row r="21" spans="2:29">
      <c r="B21" s="4" t="s">
        <v>29</v>
      </c>
      <c r="C21" s="4">
        <v>41</v>
      </c>
      <c r="D21" s="4">
        <v>1199000</v>
      </c>
      <c r="E21" s="71" t="s">
        <v>31</v>
      </c>
      <c r="F21" s="71">
        <v>3</v>
      </c>
      <c r="G21" s="71">
        <v>1189000</v>
      </c>
      <c r="I21" s="4" t="s">
        <v>29</v>
      </c>
      <c r="J21" s="4">
        <v>5</v>
      </c>
      <c r="K21" s="4">
        <v>1109000</v>
      </c>
      <c r="L21" s="4" t="s">
        <v>31</v>
      </c>
      <c r="M21" s="4">
        <v>43</v>
      </c>
      <c r="N21" s="4">
        <v>1099000</v>
      </c>
      <c r="P21" s="4" t="s">
        <v>29</v>
      </c>
      <c r="Q21" s="4">
        <v>9</v>
      </c>
      <c r="R21" s="90">
        <v>1140000</v>
      </c>
      <c r="S21" s="4" t="s">
        <v>31</v>
      </c>
      <c r="T21" s="4">
        <v>28</v>
      </c>
      <c r="U21" s="4">
        <v>1190000</v>
      </c>
      <c r="W21" s="146"/>
      <c r="X21" s="92" t="s">
        <v>38</v>
      </c>
      <c r="Y21" s="93">
        <v>0.42</v>
      </c>
      <c r="Z21" s="93">
        <v>0.24</v>
      </c>
      <c r="AA21" s="93">
        <v>0.33</v>
      </c>
    </row>
    <row r="22" spans="2:29">
      <c r="B22" s="4" t="s">
        <v>29</v>
      </c>
      <c r="C22" s="4">
        <v>2</v>
      </c>
      <c r="D22" s="4">
        <v>1198000</v>
      </c>
      <c r="E22" s="71" t="s">
        <v>31</v>
      </c>
      <c r="F22" s="71">
        <v>5</v>
      </c>
      <c r="G22" s="71">
        <v>1179000</v>
      </c>
      <c r="I22" s="4" t="s">
        <v>29</v>
      </c>
      <c r="J22" s="4">
        <v>82</v>
      </c>
      <c r="K22" s="4">
        <v>1099000</v>
      </c>
      <c r="L22" s="4" t="s">
        <v>31</v>
      </c>
      <c r="M22" s="4">
        <v>5</v>
      </c>
      <c r="N22" s="4">
        <v>1069000</v>
      </c>
      <c r="P22" s="4" t="s">
        <v>29</v>
      </c>
      <c r="Q22" s="4">
        <v>78</v>
      </c>
      <c r="R22" s="90">
        <v>1099000</v>
      </c>
      <c r="S22" s="4" t="s">
        <v>31</v>
      </c>
      <c r="T22" s="4">
        <v>1</v>
      </c>
      <c r="U22" s="4">
        <v>1180000</v>
      </c>
      <c r="W22" s="145" t="s">
        <v>1092</v>
      </c>
      <c r="X22" s="92" t="s">
        <v>37</v>
      </c>
      <c r="Y22" s="93">
        <v>0.44</v>
      </c>
      <c r="Z22" s="93">
        <v>0.21</v>
      </c>
      <c r="AA22" s="93">
        <v>0.12</v>
      </c>
    </row>
    <row r="23" spans="2:29">
      <c r="B23" s="4" t="s">
        <v>29</v>
      </c>
      <c r="C23" s="4">
        <v>3</v>
      </c>
      <c r="D23" s="4">
        <v>1189000</v>
      </c>
      <c r="E23" s="71" t="s">
        <v>31</v>
      </c>
      <c r="F23" s="71">
        <v>2</v>
      </c>
      <c r="G23" s="71">
        <v>1173000</v>
      </c>
      <c r="I23" s="4" t="s">
        <v>29</v>
      </c>
      <c r="J23" s="4">
        <v>9</v>
      </c>
      <c r="K23" s="4">
        <v>1079000</v>
      </c>
      <c r="L23" s="4" t="s">
        <v>31</v>
      </c>
      <c r="M23" s="4">
        <v>63</v>
      </c>
      <c r="N23" s="4">
        <v>1049000</v>
      </c>
      <c r="P23" s="4" t="s">
        <v>29</v>
      </c>
      <c r="Q23" s="4">
        <v>9</v>
      </c>
      <c r="R23" s="90">
        <v>1090000</v>
      </c>
      <c r="S23" s="4" t="s">
        <v>31</v>
      </c>
      <c r="T23" s="4">
        <v>26</v>
      </c>
      <c r="U23" s="4">
        <v>1149000</v>
      </c>
      <c r="W23" s="146"/>
      <c r="X23" s="92" t="s">
        <v>38</v>
      </c>
      <c r="Y23" s="93">
        <v>0.26</v>
      </c>
      <c r="Z23" s="93">
        <v>0.27</v>
      </c>
      <c r="AA23" s="93">
        <v>0.11</v>
      </c>
    </row>
    <row r="24" spans="2:29">
      <c r="B24" s="4" t="s">
        <v>29</v>
      </c>
      <c r="C24" s="4">
        <v>7</v>
      </c>
      <c r="D24" s="4">
        <v>1180000</v>
      </c>
      <c r="E24" s="71" t="s">
        <v>31</v>
      </c>
      <c r="F24" s="71">
        <v>5</v>
      </c>
      <c r="G24" s="71">
        <v>1169000</v>
      </c>
      <c r="I24" s="4" t="s">
        <v>29</v>
      </c>
      <c r="J24" s="4">
        <v>3</v>
      </c>
      <c r="K24" s="4">
        <v>1069000</v>
      </c>
      <c r="L24" s="4" t="s">
        <v>31</v>
      </c>
      <c r="M24" s="4">
        <v>4</v>
      </c>
      <c r="N24" s="4">
        <v>1009000</v>
      </c>
      <c r="P24" s="4" t="s">
        <v>29</v>
      </c>
      <c r="Q24" s="4">
        <v>10</v>
      </c>
      <c r="R24" s="90">
        <v>1070000</v>
      </c>
      <c r="S24" s="4" t="s">
        <v>31</v>
      </c>
      <c r="T24" s="4">
        <v>1</v>
      </c>
      <c r="U24" s="4">
        <v>1140000</v>
      </c>
      <c r="W24" s="145" t="s">
        <v>1093</v>
      </c>
      <c r="X24" s="92" t="s">
        <v>37</v>
      </c>
      <c r="Y24" s="93">
        <v>0.12</v>
      </c>
      <c r="Z24" s="93">
        <v>7.0000000000000007E-2</v>
      </c>
      <c r="AA24" s="93">
        <v>0.05</v>
      </c>
    </row>
    <row r="25" spans="2:29">
      <c r="B25" s="4" t="s">
        <v>29</v>
      </c>
      <c r="C25" s="4">
        <v>6</v>
      </c>
      <c r="D25" s="4">
        <v>1179000</v>
      </c>
      <c r="E25" s="71" t="s">
        <v>31</v>
      </c>
      <c r="F25" s="71">
        <v>1</v>
      </c>
      <c r="G25" s="71">
        <v>1168000</v>
      </c>
      <c r="I25" s="4" t="s">
        <v>29</v>
      </c>
      <c r="J25" s="4">
        <v>115</v>
      </c>
      <c r="K25" s="4">
        <v>1049000</v>
      </c>
      <c r="L25" s="4" t="s">
        <v>31</v>
      </c>
      <c r="M25" s="4">
        <v>3</v>
      </c>
      <c r="N25" s="4">
        <v>1004000</v>
      </c>
      <c r="P25" s="4" t="s">
        <v>29</v>
      </c>
      <c r="Q25" s="4">
        <v>4</v>
      </c>
      <c r="R25" s="90">
        <v>1069000</v>
      </c>
      <c r="S25" s="4" t="s">
        <v>31</v>
      </c>
      <c r="T25" s="4">
        <v>1</v>
      </c>
      <c r="U25" s="4">
        <v>1100000</v>
      </c>
      <c r="W25" s="146"/>
      <c r="X25" s="92" t="s">
        <v>38</v>
      </c>
      <c r="Y25" s="93">
        <v>0.12</v>
      </c>
      <c r="Z25" s="93">
        <v>0.08</v>
      </c>
      <c r="AA25" s="93">
        <v>0.06</v>
      </c>
    </row>
    <row r="26" spans="2:29">
      <c r="B26" s="4" t="s">
        <v>29</v>
      </c>
      <c r="C26" s="4">
        <v>1</v>
      </c>
      <c r="D26" s="4">
        <v>1173000</v>
      </c>
      <c r="E26" s="71" t="s">
        <v>31</v>
      </c>
      <c r="F26" s="71">
        <v>1</v>
      </c>
      <c r="G26" s="71">
        <v>1160000</v>
      </c>
      <c r="I26" s="4" t="s">
        <v>29</v>
      </c>
      <c r="J26" s="4">
        <v>1</v>
      </c>
      <c r="K26" s="4">
        <v>1029000</v>
      </c>
      <c r="L26" s="4" t="s">
        <v>31</v>
      </c>
      <c r="M26" s="4">
        <v>59</v>
      </c>
      <c r="N26" s="4">
        <v>999000</v>
      </c>
      <c r="P26" s="4" t="s">
        <v>29</v>
      </c>
      <c r="Q26" s="4">
        <v>3</v>
      </c>
      <c r="R26" s="90">
        <v>1059000</v>
      </c>
      <c r="S26" s="4" t="s">
        <v>31</v>
      </c>
      <c r="T26" s="4">
        <v>49</v>
      </c>
      <c r="U26" s="4">
        <v>1099000</v>
      </c>
    </row>
    <row r="27" spans="2:29">
      <c r="B27" s="4" t="s">
        <v>29</v>
      </c>
      <c r="C27" s="4">
        <v>5</v>
      </c>
      <c r="D27" s="4">
        <v>1169000</v>
      </c>
      <c r="E27" s="71" t="s">
        <v>31</v>
      </c>
      <c r="F27" s="71">
        <v>49</v>
      </c>
      <c r="G27" s="71">
        <v>1149000</v>
      </c>
      <c r="I27" s="4" t="s">
        <v>29</v>
      </c>
      <c r="J27" s="4">
        <v>5</v>
      </c>
      <c r="K27" s="4">
        <v>1009000</v>
      </c>
      <c r="L27" s="4" t="s">
        <v>31</v>
      </c>
      <c r="M27" s="4">
        <v>1</v>
      </c>
      <c r="N27" s="4">
        <v>979000</v>
      </c>
      <c r="P27" s="4" t="s">
        <v>29</v>
      </c>
      <c r="Q27" s="4">
        <v>9</v>
      </c>
      <c r="R27" s="90">
        <v>1049000</v>
      </c>
      <c r="S27" s="4" t="s">
        <v>31</v>
      </c>
      <c r="T27" s="4">
        <v>3</v>
      </c>
      <c r="U27" s="4">
        <v>1090000</v>
      </c>
    </row>
    <row r="28" spans="2:29" ht="17.25">
      <c r="B28" s="4" t="s">
        <v>29</v>
      </c>
      <c r="C28" s="4">
        <v>1</v>
      </c>
      <c r="D28" s="4">
        <v>1168000</v>
      </c>
      <c r="E28" s="71" t="s">
        <v>31</v>
      </c>
      <c r="F28" s="71">
        <v>1</v>
      </c>
      <c r="G28" s="71">
        <v>1130000</v>
      </c>
      <c r="I28" s="4" t="s">
        <v>29</v>
      </c>
      <c r="J28" s="4">
        <v>1</v>
      </c>
      <c r="K28" s="4">
        <v>1004000</v>
      </c>
      <c r="L28" s="4" t="s">
        <v>31</v>
      </c>
      <c r="M28" s="4">
        <v>47</v>
      </c>
      <c r="N28" s="4">
        <v>949000</v>
      </c>
      <c r="P28" s="4" t="s">
        <v>29</v>
      </c>
      <c r="Q28" s="4">
        <v>3</v>
      </c>
      <c r="R28" s="90">
        <v>1030000</v>
      </c>
      <c r="S28" s="4" t="s">
        <v>31</v>
      </c>
      <c r="T28" s="4">
        <v>10</v>
      </c>
      <c r="U28" s="4">
        <v>1080000</v>
      </c>
      <c r="W28" s="141" t="s">
        <v>1094</v>
      </c>
      <c r="X28" s="141"/>
      <c r="Y28" s="141"/>
      <c r="Z28" s="141"/>
      <c r="AA28" s="141"/>
      <c r="AB28" s="141"/>
    </row>
    <row r="29" spans="2:29" ht="16.5" customHeight="1">
      <c r="B29" s="4" t="s">
        <v>29</v>
      </c>
      <c r="C29" s="4">
        <v>3</v>
      </c>
      <c r="D29" s="4">
        <v>1160000</v>
      </c>
      <c r="E29" s="71" t="s">
        <v>31</v>
      </c>
      <c r="F29" s="71">
        <v>4</v>
      </c>
      <c r="G29" s="71">
        <v>1129000</v>
      </c>
      <c r="I29" s="4" t="s">
        <v>29</v>
      </c>
      <c r="J29" s="4">
        <v>82</v>
      </c>
      <c r="K29" s="4">
        <v>999000</v>
      </c>
      <c r="L29" s="4" t="s">
        <v>31</v>
      </c>
      <c r="M29" s="4">
        <v>37</v>
      </c>
      <c r="N29" s="4">
        <v>899000</v>
      </c>
      <c r="P29" s="4" t="s">
        <v>29</v>
      </c>
      <c r="Q29" s="4">
        <v>4</v>
      </c>
      <c r="R29" s="90">
        <v>1029000</v>
      </c>
      <c r="S29" s="4" t="s">
        <v>31</v>
      </c>
      <c r="T29" s="4">
        <v>7</v>
      </c>
      <c r="U29" s="4">
        <v>1070000</v>
      </c>
      <c r="W29" s="136" t="s">
        <v>1095</v>
      </c>
      <c r="X29" s="136"/>
      <c r="Y29" s="136"/>
      <c r="Z29" s="136"/>
      <c r="AA29" s="136"/>
      <c r="AB29" s="136"/>
      <c r="AC29" s="86"/>
    </row>
    <row r="30" spans="2:29">
      <c r="B30" s="4" t="s">
        <v>29</v>
      </c>
      <c r="C30" s="4">
        <v>90</v>
      </c>
      <c r="D30" s="4">
        <v>1149000</v>
      </c>
      <c r="E30" s="71" t="s">
        <v>31</v>
      </c>
      <c r="F30" s="71">
        <v>9</v>
      </c>
      <c r="G30" s="71">
        <v>1119000</v>
      </c>
      <c r="I30" s="4" t="s">
        <v>29</v>
      </c>
      <c r="J30" s="4">
        <v>1</v>
      </c>
      <c r="K30" s="4">
        <v>979000</v>
      </c>
      <c r="L30" s="4" t="s">
        <v>31</v>
      </c>
      <c r="M30" s="4">
        <v>3</v>
      </c>
      <c r="N30" s="4">
        <v>890000</v>
      </c>
      <c r="P30" s="4" t="s">
        <v>29</v>
      </c>
      <c r="Q30" s="4">
        <v>4</v>
      </c>
      <c r="R30" s="90">
        <v>1019000</v>
      </c>
      <c r="S30" s="4" t="s">
        <v>31</v>
      </c>
      <c r="T30" s="4">
        <v>4</v>
      </c>
      <c r="U30" s="4">
        <v>1069000</v>
      </c>
      <c r="W30" s="136"/>
      <c r="X30" s="136"/>
      <c r="Y30" s="136"/>
      <c r="Z30" s="136"/>
      <c r="AA30" s="136"/>
      <c r="AB30" s="136"/>
      <c r="AC30" s="86"/>
    </row>
    <row r="31" spans="2:29">
      <c r="B31" s="4" t="s">
        <v>29</v>
      </c>
      <c r="C31" s="4">
        <v>2</v>
      </c>
      <c r="D31" s="4">
        <v>1139000</v>
      </c>
      <c r="E31" s="71" t="s">
        <v>31</v>
      </c>
      <c r="F31" s="71">
        <v>1</v>
      </c>
      <c r="G31" s="71">
        <v>1109000</v>
      </c>
      <c r="I31" s="4" t="s">
        <v>29</v>
      </c>
      <c r="J31" s="4">
        <v>100</v>
      </c>
      <c r="K31" s="4">
        <v>949000</v>
      </c>
      <c r="L31" s="4" t="s">
        <v>31</v>
      </c>
      <c r="M31" s="4">
        <v>2</v>
      </c>
      <c r="N31" s="4">
        <v>869000</v>
      </c>
      <c r="P31" s="4" t="s">
        <v>29</v>
      </c>
      <c r="Q31" s="4">
        <v>24</v>
      </c>
      <c r="R31" s="90">
        <v>999000</v>
      </c>
      <c r="S31" s="4" t="s">
        <v>31</v>
      </c>
      <c r="T31" s="4">
        <v>1</v>
      </c>
      <c r="U31" s="4">
        <v>1059000</v>
      </c>
      <c r="W31" s="136"/>
      <c r="X31" s="136"/>
      <c r="Y31" s="136"/>
      <c r="Z31" s="136"/>
      <c r="AA31" s="136"/>
      <c r="AB31" s="136"/>
      <c r="AC31" s="86"/>
    </row>
    <row r="32" spans="2:29">
      <c r="B32" s="4" t="s">
        <v>29</v>
      </c>
      <c r="C32" s="4">
        <v>3</v>
      </c>
      <c r="D32" s="4">
        <v>1130000</v>
      </c>
      <c r="E32" s="71" t="s">
        <v>31</v>
      </c>
      <c r="F32" s="71">
        <v>16</v>
      </c>
      <c r="G32" s="71">
        <v>1099000</v>
      </c>
      <c r="I32" s="4" t="s">
        <v>29</v>
      </c>
      <c r="J32" s="4">
        <v>1</v>
      </c>
      <c r="K32" s="4">
        <v>929000</v>
      </c>
      <c r="L32" s="4" t="s">
        <v>31</v>
      </c>
      <c r="M32" s="4">
        <v>73</v>
      </c>
      <c r="N32" s="4">
        <v>849000</v>
      </c>
      <c r="P32" s="4" t="s">
        <v>29</v>
      </c>
      <c r="Q32" s="4">
        <v>7</v>
      </c>
      <c r="R32" s="90">
        <v>995000</v>
      </c>
      <c r="S32" s="4" t="s">
        <v>31</v>
      </c>
      <c r="T32" s="4">
        <v>5</v>
      </c>
      <c r="U32" s="4">
        <v>1049000</v>
      </c>
      <c r="W32" s="136"/>
      <c r="X32" s="136"/>
      <c r="Y32" s="136"/>
      <c r="Z32" s="136"/>
      <c r="AA32" s="136"/>
      <c r="AB32" s="136"/>
      <c r="AC32" s="86"/>
    </row>
    <row r="33" spans="2:29">
      <c r="B33" s="4" t="s">
        <v>29</v>
      </c>
      <c r="C33" s="4">
        <v>17</v>
      </c>
      <c r="D33" s="4">
        <v>1129000</v>
      </c>
      <c r="E33" s="71" t="s">
        <v>31</v>
      </c>
      <c r="F33" s="71">
        <v>3</v>
      </c>
      <c r="G33" s="71">
        <v>1089000</v>
      </c>
      <c r="I33" s="4" t="s">
        <v>29</v>
      </c>
      <c r="J33" s="4">
        <v>58</v>
      </c>
      <c r="K33" s="4">
        <v>899000</v>
      </c>
      <c r="L33" s="4" t="s">
        <v>31</v>
      </c>
      <c r="M33" s="4">
        <v>3</v>
      </c>
      <c r="N33" s="4">
        <v>840000</v>
      </c>
      <c r="P33" s="4" t="s">
        <v>29</v>
      </c>
      <c r="Q33" s="4">
        <v>1</v>
      </c>
      <c r="R33" s="90">
        <v>979000</v>
      </c>
      <c r="S33" s="4" t="s">
        <v>31</v>
      </c>
      <c r="T33" s="4">
        <v>3</v>
      </c>
      <c r="U33" s="4">
        <v>1030000</v>
      </c>
      <c r="W33" s="136"/>
      <c r="X33" s="136"/>
      <c r="Y33" s="136"/>
      <c r="Z33" s="136"/>
      <c r="AA33" s="136"/>
      <c r="AB33" s="136"/>
      <c r="AC33" s="86"/>
    </row>
    <row r="34" spans="2:29">
      <c r="B34" s="4" t="s">
        <v>29</v>
      </c>
      <c r="C34" s="4">
        <v>25</v>
      </c>
      <c r="D34" s="4">
        <v>1119000</v>
      </c>
      <c r="E34" s="71" t="s">
        <v>31</v>
      </c>
      <c r="F34" s="71">
        <v>2</v>
      </c>
      <c r="G34" s="71">
        <v>1083000</v>
      </c>
      <c r="I34" s="4" t="s">
        <v>29</v>
      </c>
      <c r="J34" s="4">
        <v>4</v>
      </c>
      <c r="K34" s="4">
        <v>890000</v>
      </c>
      <c r="L34" s="4" t="s">
        <v>31</v>
      </c>
      <c r="M34" s="4">
        <v>6</v>
      </c>
      <c r="N34" s="4">
        <v>829000</v>
      </c>
      <c r="P34" s="4" t="s">
        <v>29</v>
      </c>
      <c r="Q34" s="4">
        <v>2</v>
      </c>
      <c r="R34" s="90">
        <v>960000</v>
      </c>
      <c r="S34" s="4" t="s">
        <v>31</v>
      </c>
      <c r="T34" s="4">
        <v>5</v>
      </c>
      <c r="U34" s="4">
        <v>1029000</v>
      </c>
      <c r="W34" s="136"/>
      <c r="X34" s="136"/>
      <c r="Y34" s="136"/>
      <c r="Z34" s="136"/>
      <c r="AA34" s="136"/>
      <c r="AB34" s="136"/>
      <c r="AC34" s="86"/>
    </row>
    <row r="35" spans="2:29">
      <c r="B35" s="4" t="s">
        <v>29</v>
      </c>
      <c r="C35" s="4">
        <v>1</v>
      </c>
      <c r="D35" s="4">
        <v>1109000</v>
      </c>
      <c r="E35" s="71" t="s">
        <v>31</v>
      </c>
      <c r="F35" s="71">
        <v>2</v>
      </c>
      <c r="G35" s="71">
        <v>1070000</v>
      </c>
      <c r="I35" s="4" t="s">
        <v>29</v>
      </c>
      <c r="J35" s="4">
        <v>1</v>
      </c>
      <c r="K35" s="4">
        <v>870000</v>
      </c>
      <c r="L35" s="4" t="s">
        <v>31</v>
      </c>
      <c r="M35" s="4">
        <v>5</v>
      </c>
      <c r="N35" s="4">
        <v>821000</v>
      </c>
      <c r="P35" s="4" t="s">
        <v>29</v>
      </c>
      <c r="Q35" s="4">
        <v>7</v>
      </c>
      <c r="R35" s="90">
        <v>950000</v>
      </c>
      <c r="S35" s="4" t="s">
        <v>31</v>
      </c>
      <c r="T35" s="4">
        <v>4</v>
      </c>
      <c r="U35" s="4">
        <v>1019000</v>
      </c>
      <c r="W35" s="136"/>
      <c r="X35" s="136"/>
      <c r="Y35" s="136"/>
      <c r="Z35" s="136"/>
      <c r="AA35" s="136"/>
      <c r="AB35" s="136"/>
      <c r="AC35" s="86"/>
    </row>
    <row r="36" spans="2:29">
      <c r="B36" s="4" t="s">
        <v>29</v>
      </c>
      <c r="C36" s="4">
        <v>2</v>
      </c>
      <c r="D36" s="4">
        <v>1100000</v>
      </c>
      <c r="E36" s="71" t="s">
        <v>31</v>
      </c>
      <c r="F36" s="71">
        <v>39</v>
      </c>
      <c r="G36" s="71">
        <v>1069000</v>
      </c>
      <c r="I36" s="4" t="s">
        <v>29</v>
      </c>
      <c r="J36" s="4">
        <v>1</v>
      </c>
      <c r="K36" s="4">
        <v>869000</v>
      </c>
      <c r="L36" s="4" t="s">
        <v>31</v>
      </c>
      <c r="M36" s="4">
        <v>67</v>
      </c>
      <c r="N36" s="4">
        <v>799000</v>
      </c>
      <c r="P36" s="4" t="s">
        <v>29</v>
      </c>
      <c r="Q36" s="4">
        <v>57</v>
      </c>
      <c r="R36" s="90">
        <v>949000</v>
      </c>
      <c r="S36" s="4" t="s">
        <v>31</v>
      </c>
      <c r="T36" s="4">
        <v>28</v>
      </c>
      <c r="U36" s="4">
        <v>999000</v>
      </c>
      <c r="W36" s="136"/>
      <c r="X36" s="136"/>
      <c r="Y36" s="136"/>
      <c r="Z36" s="136"/>
      <c r="AA36" s="136"/>
      <c r="AB36" s="136"/>
      <c r="AC36" s="86"/>
    </row>
    <row r="37" spans="2:29">
      <c r="B37" s="4" t="s">
        <v>29</v>
      </c>
      <c r="C37" s="4">
        <v>43</v>
      </c>
      <c r="D37" s="4">
        <v>1099000</v>
      </c>
      <c r="E37" s="71" t="s">
        <v>31</v>
      </c>
      <c r="F37" s="71">
        <v>4</v>
      </c>
      <c r="G37" s="71">
        <v>1059000</v>
      </c>
      <c r="I37" s="4" t="s">
        <v>29</v>
      </c>
      <c r="J37" s="4">
        <v>96</v>
      </c>
      <c r="K37" s="4">
        <v>849000</v>
      </c>
      <c r="L37" s="4" t="s">
        <v>31</v>
      </c>
      <c r="M37" s="4">
        <v>16</v>
      </c>
      <c r="N37" s="4">
        <v>769000</v>
      </c>
      <c r="P37" s="4" t="s">
        <v>29</v>
      </c>
      <c r="Q37" s="4">
        <v>4</v>
      </c>
      <c r="R37" s="90">
        <v>929000</v>
      </c>
      <c r="S37" s="4" t="s">
        <v>31</v>
      </c>
      <c r="T37" s="4">
        <v>6</v>
      </c>
      <c r="U37" s="4">
        <v>995000</v>
      </c>
      <c r="W37" s="136"/>
      <c r="X37" s="136"/>
      <c r="Y37" s="136"/>
      <c r="Z37" s="136"/>
      <c r="AA37" s="136"/>
      <c r="AB37" s="136"/>
      <c r="AC37" s="86"/>
    </row>
    <row r="38" spans="2:29">
      <c r="B38" s="4" t="s">
        <v>29</v>
      </c>
      <c r="C38" s="4">
        <v>3</v>
      </c>
      <c r="D38" s="4">
        <v>1090000</v>
      </c>
      <c r="E38" s="71" t="s">
        <v>31</v>
      </c>
      <c r="F38" s="71">
        <v>3</v>
      </c>
      <c r="G38" s="71">
        <v>1050000</v>
      </c>
      <c r="I38" s="4" t="s">
        <v>29</v>
      </c>
      <c r="J38" s="4">
        <v>3</v>
      </c>
      <c r="K38" s="4">
        <v>840000</v>
      </c>
      <c r="L38" s="4" t="s">
        <v>31</v>
      </c>
      <c r="M38" s="4">
        <v>42</v>
      </c>
      <c r="N38" s="4">
        <v>749000</v>
      </c>
      <c r="P38" s="4" t="s">
        <v>29</v>
      </c>
      <c r="Q38" s="4">
        <v>8</v>
      </c>
      <c r="R38" s="90">
        <v>918000</v>
      </c>
      <c r="S38" s="4" t="s">
        <v>31</v>
      </c>
      <c r="T38" s="4">
        <v>1</v>
      </c>
      <c r="U38" s="4">
        <v>979000</v>
      </c>
      <c r="W38" s="136"/>
      <c r="X38" s="136"/>
      <c r="Y38" s="136"/>
      <c r="Z38" s="136"/>
      <c r="AA38" s="136"/>
      <c r="AB38" s="136"/>
      <c r="AC38" s="86"/>
    </row>
    <row r="39" spans="2:29">
      <c r="B39" s="4" t="s">
        <v>29</v>
      </c>
      <c r="C39" s="4">
        <v>2</v>
      </c>
      <c r="D39" s="4">
        <v>1089000</v>
      </c>
      <c r="E39" s="71" t="s">
        <v>31</v>
      </c>
      <c r="F39" s="71">
        <v>20</v>
      </c>
      <c r="G39" s="71">
        <v>1049000</v>
      </c>
      <c r="I39" s="4" t="s">
        <v>29</v>
      </c>
      <c r="J39" s="4">
        <v>7</v>
      </c>
      <c r="K39" s="4">
        <v>829000</v>
      </c>
      <c r="L39" s="4" t="s">
        <v>31</v>
      </c>
      <c r="M39" s="4">
        <v>9</v>
      </c>
      <c r="N39" s="4">
        <v>739000</v>
      </c>
      <c r="P39" s="4" t="s">
        <v>29</v>
      </c>
      <c r="Q39" s="4">
        <v>6</v>
      </c>
      <c r="R39" s="90">
        <v>910000</v>
      </c>
      <c r="S39" s="4" t="s">
        <v>31</v>
      </c>
      <c r="T39" s="4">
        <v>4</v>
      </c>
      <c r="U39" s="4">
        <v>969000</v>
      </c>
      <c r="W39" s="136"/>
      <c r="X39" s="136"/>
      <c r="Y39" s="136"/>
      <c r="Z39" s="136"/>
      <c r="AA39" s="136"/>
      <c r="AB39" s="136"/>
      <c r="AC39" s="86"/>
    </row>
    <row r="40" spans="2:29">
      <c r="B40" s="4" t="s">
        <v>29</v>
      </c>
      <c r="C40" s="4">
        <v>45</v>
      </c>
      <c r="D40" s="4">
        <v>1069000</v>
      </c>
      <c r="E40" s="71" t="s">
        <v>31</v>
      </c>
      <c r="F40" s="71">
        <v>5</v>
      </c>
      <c r="G40" s="71">
        <v>1029000</v>
      </c>
      <c r="I40" s="4" t="s">
        <v>29</v>
      </c>
      <c r="J40" s="4">
        <v>115</v>
      </c>
      <c r="K40" s="4">
        <v>799000</v>
      </c>
      <c r="L40" s="4" t="s">
        <v>31</v>
      </c>
      <c r="M40" s="4">
        <v>10</v>
      </c>
      <c r="N40" s="4">
        <v>729000</v>
      </c>
      <c r="P40" s="4" t="s">
        <v>29</v>
      </c>
      <c r="Q40" s="4">
        <v>2</v>
      </c>
      <c r="R40" s="90">
        <v>900000</v>
      </c>
      <c r="S40" s="4" t="s">
        <v>31</v>
      </c>
      <c r="T40" s="4">
        <v>2</v>
      </c>
      <c r="U40" s="4">
        <v>960000</v>
      </c>
      <c r="W40" s="136"/>
      <c r="X40" s="136"/>
      <c r="Y40" s="136"/>
      <c r="Z40" s="136"/>
      <c r="AA40" s="136"/>
      <c r="AB40" s="136"/>
      <c r="AC40" s="86"/>
    </row>
    <row r="41" spans="2:29">
      <c r="B41" s="4" t="s">
        <v>29</v>
      </c>
      <c r="C41" s="4">
        <v>2</v>
      </c>
      <c r="D41" s="4">
        <v>1059000</v>
      </c>
      <c r="E41" s="71" t="s">
        <v>31</v>
      </c>
      <c r="F41" s="71">
        <v>5</v>
      </c>
      <c r="G41" s="71">
        <v>1019000</v>
      </c>
      <c r="I41" s="4" t="s">
        <v>29</v>
      </c>
      <c r="J41" s="4">
        <v>34</v>
      </c>
      <c r="K41" s="4">
        <v>769000</v>
      </c>
      <c r="L41" s="4" t="s">
        <v>31</v>
      </c>
      <c r="M41" s="4">
        <v>19</v>
      </c>
      <c r="N41" s="4">
        <v>699000</v>
      </c>
      <c r="P41" s="4" t="s">
        <v>29</v>
      </c>
      <c r="Q41" s="4">
        <v>133</v>
      </c>
      <c r="R41" s="90">
        <v>899000</v>
      </c>
      <c r="S41" s="4" t="s">
        <v>31</v>
      </c>
      <c r="T41" s="4">
        <v>6</v>
      </c>
      <c r="U41" s="4">
        <v>950000</v>
      </c>
      <c r="W41" s="136"/>
      <c r="X41" s="136"/>
      <c r="Y41" s="136"/>
      <c r="Z41" s="136"/>
      <c r="AA41" s="136"/>
      <c r="AB41" s="136"/>
      <c r="AC41" s="86"/>
    </row>
    <row r="42" spans="2:29">
      <c r="B42" s="4" t="s">
        <v>29</v>
      </c>
      <c r="C42" s="4">
        <v>1</v>
      </c>
      <c r="D42" s="4">
        <v>1050000</v>
      </c>
      <c r="E42" s="71" t="s">
        <v>31</v>
      </c>
      <c r="F42" s="71">
        <v>8</v>
      </c>
      <c r="G42" s="71">
        <v>999000</v>
      </c>
      <c r="I42" s="4" t="s">
        <v>29</v>
      </c>
      <c r="J42" s="4">
        <v>76</v>
      </c>
      <c r="K42" s="4">
        <v>749000</v>
      </c>
      <c r="L42" s="4" t="s">
        <v>31</v>
      </c>
      <c r="M42" s="4">
        <v>9</v>
      </c>
      <c r="N42" s="4">
        <v>669000</v>
      </c>
      <c r="P42" s="4" t="s">
        <v>29</v>
      </c>
      <c r="Q42" s="4">
        <v>14</v>
      </c>
      <c r="R42" s="90">
        <v>890000</v>
      </c>
      <c r="S42" s="4" t="s">
        <v>31</v>
      </c>
      <c r="T42" s="4">
        <v>46</v>
      </c>
      <c r="U42" s="4">
        <v>949000</v>
      </c>
      <c r="W42" s="136"/>
      <c r="X42" s="136"/>
      <c r="Y42" s="136"/>
      <c r="Z42" s="136"/>
      <c r="AA42" s="136"/>
      <c r="AB42" s="136"/>
      <c r="AC42" s="86"/>
    </row>
    <row r="43" spans="2:29">
      <c r="B43" s="4" t="s">
        <v>29</v>
      </c>
      <c r="C43" s="4">
        <v>35</v>
      </c>
      <c r="D43" s="4">
        <v>1049000</v>
      </c>
      <c r="E43" s="71" t="s">
        <v>31</v>
      </c>
      <c r="F43" s="71">
        <v>18</v>
      </c>
      <c r="G43" s="71">
        <v>979000</v>
      </c>
      <c r="I43" s="4" t="s">
        <v>29</v>
      </c>
      <c r="J43" s="4">
        <v>10</v>
      </c>
      <c r="K43" s="4">
        <v>739000</v>
      </c>
      <c r="L43" s="4" t="s">
        <v>31</v>
      </c>
      <c r="M43" s="4">
        <v>31</v>
      </c>
      <c r="N43" s="4">
        <v>649000</v>
      </c>
      <c r="P43" s="4" t="s">
        <v>29</v>
      </c>
      <c r="Q43" s="4">
        <v>10</v>
      </c>
      <c r="R43" s="90">
        <v>889000</v>
      </c>
      <c r="S43" s="4" t="s">
        <v>31</v>
      </c>
      <c r="T43" s="4">
        <v>4</v>
      </c>
      <c r="U43" s="4">
        <v>929000</v>
      </c>
      <c r="W43" s="136"/>
      <c r="X43" s="136"/>
      <c r="Y43" s="136"/>
      <c r="Z43" s="136"/>
      <c r="AA43" s="136"/>
      <c r="AB43" s="136"/>
      <c r="AC43" s="86"/>
    </row>
    <row r="44" spans="2:29">
      <c r="B44" s="4" t="s">
        <v>29</v>
      </c>
      <c r="C44" s="4">
        <v>12</v>
      </c>
      <c r="D44" s="4">
        <v>1039000</v>
      </c>
      <c r="E44" s="71" t="s">
        <v>31</v>
      </c>
      <c r="F44" s="71">
        <v>1</v>
      </c>
      <c r="G44" s="71">
        <v>969000</v>
      </c>
      <c r="I44" s="4" t="s">
        <v>29</v>
      </c>
      <c r="J44" s="4">
        <v>29</v>
      </c>
      <c r="K44" s="4">
        <v>729000</v>
      </c>
      <c r="L44" s="4" t="s">
        <v>31</v>
      </c>
      <c r="M44" s="4">
        <v>2</v>
      </c>
      <c r="N44" s="4">
        <v>629000</v>
      </c>
      <c r="P44" s="4" t="s">
        <v>29</v>
      </c>
      <c r="Q44" s="4">
        <v>1</v>
      </c>
      <c r="R44" s="90">
        <v>888000</v>
      </c>
      <c r="S44" s="4" t="s">
        <v>31</v>
      </c>
      <c r="T44" s="4">
        <v>8</v>
      </c>
      <c r="U44" s="4">
        <v>918000</v>
      </c>
      <c r="W44" s="136"/>
      <c r="X44" s="136"/>
      <c r="Y44" s="136"/>
      <c r="Z44" s="136"/>
      <c r="AA44" s="136"/>
      <c r="AB44" s="136"/>
      <c r="AC44" s="86"/>
    </row>
    <row r="45" spans="2:29">
      <c r="B45" s="4" t="s">
        <v>29</v>
      </c>
      <c r="C45" s="4">
        <v>3</v>
      </c>
      <c r="D45" s="4">
        <v>1029000</v>
      </c>
      <c r="E45" s="71" t="s">
        <v>31</v>
      </c>
      <c r="F45" s="71">
        <v>11</v>
      </c>
      <c r="G45" s="71">
        <v>959000</v>
      </c>
      <c r="I45" s="4" t="s">
        <v>29</v>
      </c>
      <c r="J45" s="4">
        <v>41</v>
      </c>
      <c r="K45" s="4">
        <v>699000</v>
      </c>
      <c r="L45" s="4" t="s">
        <v>31</v>
      </c>
      <c r="M45" s="4">
        <v>52</v>
      </c>
      <c r="N45" s="4">
        <v>599000</v>
      </c>
      <c r="P45" s="4" t="s">
        <v>29</v>
      </c>
      <c r="Q45" s="4">
        <v>1</v>
      </c>
      <c r="R45" s="90">
        <v>879000</v>
      </c>
      <c r="S45" s="4" t="s">
        <v>31</v>
      </c>
      <c r="T45" s="4">
        <v>6</v>
      </c>
      <c r="U45" s="4">
        <v>910000</v>
      </c>
      <c r="W45" s="136"/>
      <c r="X45" s="136"/>
      <c r="Y45" s="136"/>
      <c r="Z45" s="136"/>
      <c r="AA45" s="136"/>
      <c r="AB45" s="136"/>
      <c r="AC45" s="86"/>
    </row>
    <row r="46" spans="2:29">
      <c r="B46" s="4" t="s">
        <v>29</v>
      </c>
      <c r="C46" s="4">
        <v>5</v>
      </c>
      <c r="D46" s="4">
        <v>1019000</v>
      </c>
      <c r="E46" s="71" t="s">
        <v>31</v>
      </c>
      <c r="F46" s="71">
        <v>1</v>
      </c>
      <c r="G46" s="71">
        <v>950000</v>
      </c>
      <c r="I46" s="4" t="s">
        <v>29</v>
      </c>
      <c r="J46" s="4">
        <v>5</v>
      </c>
      <c r="K46" s="4">
        <v>679000</v>
      </c>
      <c r="L46" s="4" t="s">
        <v>31</v>
      </c>
      <c r="M46" s="4">
        <v>1</v>
      </c>
      <c r="N46" s="4">
        <v>569000</v>
      </c>
      <c r="P46" s="4" t="s">
        <v>29</v>
      </c>
      <c r="Q46" s="4">
        <v>2</v>
      </c>
      <c r="R46" s="90">
        <v>859000</v>
      </c>
      <c r="S46" s="4" t="s">
        <v>31</v>
      </c>
      <c r="T46" s="4">
        <v>4</v>
      </c>
      <c r="U46" s="4">
        <v>900000</v>
      </c>
      <c r="W46" s="136"/>
      <c r="X46" s="136"/>
      <c r="Y46" s="136"/>
      <c r="Z46" s="136"/>
      <c r="AA46" s="136"/>
      <c r="AB46" s="136"/>
      <c r="AC46" s="86"/>
    </row>
    <row r="47" spans="2:29">
      <c r="B47" s="4" t="s">
        <v>29</v>
      </c>
      <c r="C47" s="4">
        <v>2</v>
      </c>
      <c r="D47" s="4">
        <v>1009000</v>
      </c>
      <c r="E47" s="71" t="s">
        <v>31</v>
      </c>
      <c r="F47" s="71">
        <v>48</v>
      </c>
      <c r="G47" s="71">
        <v>949000</v>
      </c>
      <c r="I47" s="4" t="s">
        <v>29</v>
      </c>
      <c r="J47" s="4">
        <v>4</v>
      </c>
      <c r="K47" s="4">
        <v>669000</v>
      </c>
      <c r="L47" s="4" t="s">
        <v>31</v>
      </c>
      <c r="M47" s="4">
        <v>48</v>
      </c>
      <c r="N47" s="4">
        <v>549000</v>
      </c>
      <c r="P47" s="4" t="s">
        <v>29</v>
      </c>
      <c r="Q47" s="4">
        <v>52</v>
      </c>
      <c r="R47" s="90">
        <v>849000</v>
      </c>
      <c r="S47" s="4" t="s">
        <v>31</v>
      </c>
      <c r="T47" s="4">
        <v>58</v>
      </c>
      <c r="U47" s="4">
        <v>899000</v>
      </c>
      <c r="W47" s="136"/>
      <c r="X47" s="136"/>
      <c r="Y47" s="136"/>
      <c r="Z47" s="136"/>
      <c r="AA47" s="136"/>
      <c r="AB47" s="136"/>
      <c r="AC47" s="86"/>
    </row>
    <row r="48" spans="2:29">
      <c r="B48" s="4" t="s">
        <v>29</v>
      </c>
      <c r="C48" s="4">
        <v>10</v>
      </c>
      <c r="D48" s="4">
        <v>999000</v>
      </c>
      <c r="E48" s="71" t="s">
        <v>31</v>
      </c>
      <c r="F48" s="71">
        <v>6</v>
      </c>
      <c r="G48" s="71">
        <v>939000</v>
      </c>
      <c r="I48" s="4" t="s">
        <v>29</v>
      </c>
      <c r="J48" s="4">
        <v>49</v>
      </c>
      <c r="K48" s="4">
        <v>649000</v>
      </c>
      <c r="L48" s="4" t="s">
        <v>31</v>
      </c>
      <c r="M48" s="4">
        <v>175</v>
      </c>
      <c r="N48" s="4">
        <v>499000</v>
      </c>
      <c r="P48" s="4" t="s">
        <v>29</v>
      </c>
      <c r="Q48" s="4">
        <v>4</v>
      </c>
      <c r="R48" s="90">
        <v>839000</v>
      </c>
      <c r="S48" s="4" t="s">
        <v>31</v>
      </c>
      <c r="T48" s="4">
        <v>13</v>
      </c>
      <c r="U48" s="4">
        <v>890000</v>
      </c>
      <c r="W48" s="136"/>
      <c r="X48" s="136"/>
      <c r="Y48" s="136"/>
      <c r="Z48" s="136"/>
      <c r="AA48" s="136"/>
      <c r="AB48" s="136"/>
      <c r="AC48" s="86"/>
    </row>
    <row r="49" spans="2:29">
      <c r="B49" s="4" t="s">
        <v>29</v>
      </c>
      <c r="C49" s="4">
        <v>2</v>
      </c>
      <c r="D49" s="4">
        <v>980000</v>
      </c>
      <c r="E49" s="71" t="s">
        <v>31</v>
      </c>
      <c r="F49" s="71">
        <v>14</v>
      </c>
      <c r="G49" s="71">
        <v>929000</v>
      </c>
      <c r="I49" s="4" t="s">
        <v>29</v>
      </c>
      <c r="J49" s="4">
        <v>4</v>
      </c>
      <c r="K49" s="4">
        <v>629000</v>
      </c>
      <c r="L49" s="4" t="s">
        <v>31</v>
      </c>
      <c r="M49" s="4">
        <v>8</v>
      </c>
      <c r="N49" s="4">
        <v>469000</v>
      </c>
      <c r="P49" s="4" t="s">
        <v>29</v>
      </c>
      <c r="Q49" s="4">
        <v>5</v>
      </c>
      <c r="R49" s="90">
        <v>812000</v>
      </c>
      <c r="S49" s="4" t="s">
        <v>31</v>
      </c>
      <c r="T49" s="4">
        <v>7</v>
      </c>
      <c r="U49" s="4">
        <v>889000</v>
      </c>
      <c r="W49" s="136"/>
      <c r="X49" s="136"/>
      <c r="Y49" s="136"/>
      <c r="Z49" s="136"/>
      <c r="AA49" s="136"/>
      <c r="AB49" s="136"/>
      <c r="AC49" s="86"/>
    </row>
    <row r="50" spans="2:29">
      <c r="B50" s="4" t="s">
        <v>29</v>
      </c>
      <c r="C50" s="4">
        <v>33</v>
      </c>
      <c r="D50" s="4">
        <v>979000</v>
      </c>
      <c r="E50" s="71" t="s">
        <v>31</v>
      </c>
      <c r="F50" s="71">
        <v>16</v>
      </c>
      <c r="G50" s="71">
        <v>919000</v>
      </c>
      <c r="I50" s="4" t="s">
        <v>29</v>
      </c>
      <c r="J50" s="4">
        <v>48</v>
      </c>
      <c r="K50" s="4">
        <v>599000</v>
      </c>
      <c r="L50" s="4" t="s">
        <v>31</v>
      </c>
      <c r="M50" s="4">
        <v>2</v>
      </c>
      <c r="N50" s="4">
        <v>449000</v>
      </c>
      <c r="P50" s="4" t="s">
        <v>29</v>
      </c>
      <c r="Q50" s="4">
        <v>174</v>
      </c>
      <c r="R50" s="90">
        <v>799000</v>
      </c>
      <c r="S50" s="4" t="s">
        <v>31</v>
      </c>
      <c r="T50" s="4">
        <v>1</v>
      </c>
      <c r="U50" s="4">
        <v>888000</v>
      </c>
      <c r="W50" s="136"/>
      <c r="X50" s="136"/>
      <c r="Y50" s="136"/>
      <c r="Z50" s="136"/>
      <c r="AA50" s="136"/>
      <c r="AB50" s="136"/>
      <c r="AC50" s="86"/>
    </row>
    <row r="51" spans="2:29">
      <c r="B51" s="4" t="s">
        <v>29</v>
      </c>
      <c r="C51" s="4">
        <v>22</v>
      </c>
      <c r="D51" s="4">
        <v>969000</v>
      </c>
      <c r="E51" s="71" t="s">
        <v>31</v>
      </c>
      <c r="F51" s="71">
        <v>31</v>
      </c>
      <c r="G51" s="71">
        <v>899000</v>
      </c>
      <c r="I51" s="4" t="s">
        <v>29</v>
      </c>
      <c r="J51" s="4">
        <v>27</v>
      </c>
      <c r="K51" s="4">
        <v>549000</v>
      </c>
      <c r="L51" s="4" t="s">
        <v>31</v>
      </c>
      <c r="M51" s="4">
        <v>5</v>
      </c>
      <c r="N51" s="4">
        <v>439000</v>
      </c>
      <c r="P51" s="4" t="s">
        <v>29</v>
      </c>
      <c r="Q51" s="4">
        <v>1</v>
      </c>
      <c r="R51" s="90">
        <v>790000</v>
      </c>
      <c r="S51" s="4" t="s">
        <v>31</v>
      </c>
      <c r="T51" s="4">
        <v>1</v>
      </c>
      <c r="U51" s="4">
        <v>879000</v>
      </c>
      <c r="W51" s="136"/>
      <c r="X51" s="136"/>
      <c r="Y51" s="136"/>
      <c r="Z51" s="136"/>
      <c r="AA51" s="136"/>
      <c r="AB51" s="136"/>
      <c r="AC51" s="86"/>
    </row>
    <row r="52" spans="2:29">
      <c r="B52" s="4" t="s">
        <v>29</v>
      </c>
      <c r="C52" s="4">
        <v>20</v>
      </c>
      <c r="D52" s="4">
        <v>959000</v>
      </c>
      <c r="E52" s="71" t="s">
        <v>31</v>
      </c>
      <c r="F52" s="71">
        <v>4</v>
      </c>
      <c r="G52" s="71">
        <v>889000</v>
      </c>
      <c r="I52" s="4" t="s">
        <v>29</v>
      </c>
      <c r="J52" s="4">
        <v>2</v>
      </c>
      <c r="K52" s="4">
        <v>500000</v>
      </c>
      <c r="L52" s="4" t="s">
        <v>31</v>
      </c>
      <c r="M52" s="4">
        <v>10</v>
      </c>
      <c r="N52" s="4">
        <v>419000</v>
      </c>
      <c r="P52" s="4" t="s">
        <v>29</v>
      </c>
      <c r="Q52" s="4">
        <v>1</v>
      </c>
      <c r="R52" s="90">
        <v>788000</v>
      </c>
      <c r="S52" s="4" t="s">
        <v>31</v>
      </c>
      <c r="T52" s="4">
        <v>2</v>
      </c>
      <c r="U52" s="4">
        <v>859000</v>
      </c>
      <c r="W52" s="136"/>
      <c r="X52" s="136"/>
      <c r="Y52" s="136"/>
      <c r="Z52" s="136"/>
      <c r="AA52" s="136"/>
      <c r="AB52" s="136"/>
      <c r="AC52" s="86"/>
    </row>
    <row r="53" spans="2:29">
      <c r="B53" s="4" t="s">
        <v>29</v>
      </c>
      <c r="C53" s="4">
        <v>1</v>
      </c>
      <c r="D53" s="4">
        <v>950000</v>
      </c>
      <c r="E53" s="71" t="s">
        <v>31</v>
      </c>
      <c r="F53" s="71">
        <v>13</v>
      </c>
      <c r="G53" s="71">
        <v>879000</v>
      </c>
      <c r="I53" s="4" t="s">
        <v>29</v>
      </c>
      <c r="J53" s="4">
        <v>227</v>
      </c>
      <c r="K53" s="4">
        <v>499000</v>
      </c>
      <c r="L53" s="4" t="s">
        <v>31</v>
      </c>
      <c r="M53" s="4">
        <v>1</v>
      </c>
      <c r="N53" s="4">
        <v>400000</v>
      </c>
      <c r="P53" s="4" t="s">
        <v>29</v>
      </c>
      <c r="Q53" s="4">
        <v>49</v>
      </c>
      <c r="R53" s="90">
        <v>749000</v>
      </c>
      <c r="S53" s="4" t="s">
        <v>31</v>
      </c>
      <c r="T53" s="4">
        <v>34</v>
      </c>
      <c r="U53" s="4">
        <v>849000</v>
      </c>
      <c r="W53" s="136"/>
      <c r="X53" s="136"/>
      <c r="Y53" s="136"/>
      <c r="Z53" s="136"/>
      <c r="AA53" s="136"/>
      <c r="AB53" s="136"/>
      <c r="AC53" s="86"/>
    </row>
    <row r="54" spans="2:29">
      <c r="B54" s="4" t="s">
        <v>29</v>
      </c>
      <c r="C54" s="4">
        <v>64</v>
      </c>
      <c r="D54" s="4">
        <v>949000</v>
      </c>
      <c r="E54" s="71" t="s">
        <v>31</v>
      </c>
      <c r="F54" s="71">
        <v>19</v>
      </c>
      <c r="G54" s="71">
        <v>869000</v>
      </c>
      <c r="I54" s="4" t="s">
        <v>29</v>
      </c>
      <c r="J54" s="4">
        <v>7</v>
      </c>
      <c r="K54" s="4">
        <v>469000</v>
      </c>
      <c r="L54" s="4" t="s">
        <v>31</v>
      </c>
      <c r="M54" s="4">
        <v>139</v>
      </c>
      <c r="N54" s="4">
        <v>399000</v>
      </c>
      <c r="P54" s="4" t="s">
        <v>29</v>
      </c>
      <c r="Q54" s="4">
        <v>4</v>
      </c>
      <c r="R54" s="90">
        <v>745000</v>
      </c>
      <c r="S54" s="4" t="s">
        <v>31</v>
      </c>
      <c r="T54" s="4">
        <v>4</v>
      </c>
      <c r="U54" s="4">
        <v>839000</v>
      </c>
      <c r="W54" s="136"/>
      <c r="X54" s="136"/>
      <c r="Y54" s="136"/>
      <c r="Z54" s="136"/>
      <c r="AA54" s="136"/>
      <c r="AB54" s="136"/>
      <c r="AC54" s="86"/>
    </row>
    <row r="55" spans="2:29">
      <c r="B55" s="4" t="s">
        <v>29</v>
      </c>
      <c r="C55" s="4">
        <v>1</v>
      </c>
      <c r="D55" s="4">
        <v>944100</v>
      </c>
      <c r="E55" s="71" t="s">
        <v>31</v>
      </c>
      <c r="F55" s="71">
        <v>15</v>
      </c>
      <c r="G55" s="71">
        <v>859000</v>
      </c>
      <c r="I55" s="4" t="s">
        <v>29</v>
      </c>
      <c r="J55" s="4">
        <v>4</v>
      </c>
      <c r="K55" s="4">
        <v>449000</v>
      </c>
      <c r="L55" s="4" t="s">
        <v>31</v>
      </c>
      <c r="M55" s="4">
        <v>29</v>
      </c>
      <c r="N55" s="4">
        <v>369000</v>
      </c>
      <c r="P55" s="4" t="s">
        <v>29</v>
      </c>
      <c r="Q55" s="4">
        <v>34</v>
      </c>
      <c r="R55" s="90">
        <v>729000</v>
      </c>
      <c r="S55" s="4" t="s">
        <v>31</v>
      </c>
      <c r="T55" s="4">
        <v>15</v>
      </c>
      <c r="U55" s="4">
        <v>820000</v>
      </c>
      <c r="W55" s="136"/>
      <c r="X55" s="136"/>
      <c r="Y55" s="136"/>
      <c r="Z55" s="136"/>
      <c r="AA55" s="136"/>
      <c r="AB55" s="136"/>
      <c r="AC55" s="86"/>
    </row>
    <row r="56" spans="2:29">
      <c r="B56" s="4" t="s">
        <v>29</v>
      </c>
      <c r="C56" s="4">
        <v>16</v>
      </c>
      <c r="D56" s="4">
        <v>939000</v>
      </c>
      <c r="E56" s="71" t="s">
        <v>31</v>
      </c>
      <c r="F56" s="71">
        <v>20</v>
      </c>
      <c r="G56" s="71">
        <v>849000</v>
      </c>
      <c r="I56" s="4" t="s">
        <v>29</v>
      </c>
      <c r="J56" s="4">
        <v>11</v>
      </c>
      <c r="K56" s="4">
        <v>439000</v>
      </c>
      <c r="L56" s="4" t="s">
        <v>31</v>
      </c>
      <c r="M56" s="4">
        <v>1</v>
      </c>
      <c r="N56" s="4">
        <v>360000</v>
      </c>
      <c r="P56" s="4" t="s">
        <v>29</v>
      </c>
      <c r="Q56" s="4">
        <v>5</v>
      </c>
      <c r="R56" s="90">
        <v>700000</v>
      </c>
      <c r="S56" s="4" t="s">
        <v>31</v>
      </c>
      <c r="T56" s="4">
        <v>6</v>
      </c>
      <c r="U56" s="4">
        <v>812000</v>
      </c>
      <c r="W56" s="136"/>
      <c r="X56" s="136"/>
      <c r="Y56" s="136"/>
      <c r="Z56" s="136"/>
      <c r="AA56" s="136"/>
      <c r="AB56" s="136"/>
      <c r="AC56" s="86"/>
    </row>
    <row r="57" spans="2:29">
      <c r="B57" s="4" t="s">
        <v>29</v>
      </c>
      <c r="C57" s="4">
        <v>20</v>
      </c>
      <c r="D57" s="4">
        <v>929000</v>
      </c>
      <c r="E57" s="71" t="s">
        <v>31</v>
      </c>
      <c r="F57" s="71">
        <v>1</v>
      </c>
      <c r="G57" s="71">
        <v>845000</v>
      </c>
      <c r="I57" s="4" t="s">
        <v>29</v>
      </c>
      <c r="J57" s="4">
        <v>8</v>
      </c>
      <c r="K57" s="4">
        <v>419000</v>
      </c>
      <c r="L57" s="4" t="s">
        <v>31</v>
      </c>
      <c r="M57" s="4">
        <v>4</v>
      </c>
      <c r="N57" s="4">
        <v>359000</v>
      </c>
      <c r="P57" s="4" t="s">
        <v>29</v>
      </c>
      <c r="Q57" s="4">
        <v>481</v>
      </c>
      <c r="R57" s="90">
        <v>699000</v>
      </c>
      <c r="S57" s="4" t="s">
        <v>31</v>
      </c>
      <c r="T57" s="4">
        <v>86</v>
      </c>
      <c r="U57" s="4">
        <v>799000</v>
      </c>
      <c r="W57" s="136"/>
      <c r="X57" s="136"/>
      <c r="Y57" s="136"/>
      <c r="Z57" s="136"/>
      <c r="AA57" s="136"/>
      <c r="AB57" s="136"/>
      <c r="AC57" s="86"/>
    </row>
    <row r="58" spans="2:29">
      <c r="B58" s="4" t="s">
        <v>29</v>
      </c>
      <c r="C58" s="4">
        <v>43</v>
      </c>
      <c r="D58" s="4">
        <v>919000</v>
      </c>
      <c r="E58" s="71" t="s">
        <v>31</v>
      </c>
      <c r="F58" s="71">
        <v>1</v>
      </c>
      <c r="G58" s="71">
        <v>838000</v>
      </c>
      <c r="I58" s="4" t="s">
        <v>29</v>
      </c>
      <c r="J58" s="4">
        <v>1</v>
      </c>
      <c r="K58" s="4">
        <v>400000</v>
      </c>
      <c r="L58" s="4" t="s">
        <v>31</v>
      </c>
      <c r="M58" s="4">
        <v>38</v>
      </c>
      <c r="N58" s="4">
        <v>349000</v>
      </c>
      <c r="P58" s="4" t="s">
        <v>29</v>
      </c>
      <c r="Q58" s="4">
        <v>10</v>
      </c>
      <c r="R58" s="90">
        <v>690000</v>
      </c>
      <c r="S58" s="4" t="s">
        <v>31</v>
      </c>
      <c r="T58" s="4">
        <v>1</v>
      </c>
      <c r="U58" s="4">
        <v>790000</v>
      </c>
      <c r="W58" s="136"/>
      <c r="X58" s="136"/>
      <c r="Y58" s="136"/>
      <c r="Z58" s="136"/>
      <c r="AA58" s="136"/>
      <c r="AB58" s="136"/>
      <c r="AC58" s="86"/>
    </row>
    <row r="59" spans="2:29">
      <c r="B59" s="4" t="s">
        <v>29</v>
      </c>
      <c r="C59" s="4">
        <v>8</v>
      </c>
      <c r="D59" s="4">
        <v>909000</v>
      </c>
      <c r="E59" s="71" t="s">
        <v>31</v>
      </c>
      <c r="F59" s="71">
        <v>2</v>
      </c>
      <c r="G59" s="71">
        <v>829000</v>
      </c>
      <c r="I59" s="4" t="s">
        <v>29</v>
      </c>
      <c r="J59" s="4">
        <v>181</v>
      </c>
      <c r="K59" s="4">
        <v>399000</v>
      </c>
      <c r="L59" s="4" t="s">
        <v>31</v>
      </c>
      <c r="M59" s="4">
        <v>12</v>
      </c>
      <c r="N59" s="4">
        <v>329000</v>
      </c>
      <c r="P59" s="4" t="s">
        <v>29</v>
      </c>
      <c r="Q59" s="4">
        <v>8</v>
      </c>
      <c r="R59" s="90">
        <v>679000</v>
      </c>
      <c r="S59" s="4" t="s">
        <v>31</v>
      </c>
      <c r="T59" s="4">
        <v>1</v>
      </c>
      <c r="U59" s="4">
        <v>788000</v>
      </c>
      <c r="W59" s="136"/>
      <c r="X59" s="136"/>
      <c r="Y59" s="136"/>
      <c r="Z59" s="136"/>
      <c r="AA59" s="136"/>
      <c r="AB59" s="136"/>
      <c r="AC59" s="86"/>
    </row>
    <row r="60" spans="2:29">
      <c r="B60" s="4" t="s">
        <v>29</v>
      </c>
      <c r="C60" s="4">
        <v>78</v>
      </c>
      <c r="D60" s="4">
        <v>899000</v>
      </c>
      <c r="E60" s="71" t="s">
        <v>31</v>
      </c>
      <c r="F60" s="71">
        <v>16</v>
      </c>
      <c r="G60" s="71">
        <v>819000</v>
      </c>
      <c r="I60" s="4" t="s">
        <v>29</v>
      </c>
      <c r="J60" s="4">
        <v>40</v>
      </c>
      <c r="K60" s="4">
        <v>369000</v>
      </c>
      <c r="L60" s="4" t="s">
        <v>31</v>
      </c>
      <c r="M60" s="4">
        <v>20</v>
      </c>
      <c r="N60" s="4">
        <v>319000</v>
      </c>
      <c r="P60" s="4" t="s">
        <v>29</v>
      </c>
      <c r="Q60" s="4">
        <v>1</v>
      </c>
      <c r="R60" s="90">
        <v>670000</v>
      </c>
      <c r="S60" s="4" t="s">
        <v>31</v>
      </c>
      <c r="T60" s="4">
        <v>2</v>
      </c>
      <c r="U60" s="4">
        <v>760000</v>
      </c>
      <c r="W60" s="136"/>
      <c r="X60" s="136"/>
      <c r="Y60" s="136"/>
      <c r="Z60" s="136"/>
      <c r="AA60" s="136"/>
      <c r="AB60" s="136"/>
      <c r="AC60" s="86"/>
    </row>
    <row r="61" spans="2:29">
      <c r="B61" s="4" t="s">
        <v>29</v>
      </c>
      <c r="C61" s="4">
        <v>8</v>
      </c>
      <c r="D61" s="4">
        <v>889000</v>
      </c>
      <c r="E61" s="71" t="s">
        <v>31</v>
      </c>
      <c r="F61" s="71">
        <v>16</v>
      </c>
      <c r="G61" s="71">
        <v>809000</v>
      </c>
      <c r="I61" s="4" t="s">
        <v>29</v>
      </c>
      <c r="J61" s="4">
        <v>1</v>
      </c>
      <c r="K61" s="4">
        <v>360000</v>
      </c>
      <c r="L61" s="4" t="s">
        <v>31</v>
      </c>
      <c r="M61" s="4">
        <v>2</v>
      </c>
      <c r="N61" s="4">
        <v>308000</v>
      </c>
      <c r="P61" s="4" t="s">
        <v>29</v>
      </c>
      <c r="Q61" s="4">
        <v>3</v>
      </c>
      <c r="R61" s="90">
        <v>669000</v>
      </c>
      <c r="S61" s="4" t="s">
        <v>31</v>
      </c>
      <c r="T61" s="4">
        <v>37</v>
      </c>
      <c r="U61" s="4">
        <v>749000</v>
      </c>
      <c r="W61" s="136"/>
      <c r="X61" s="136"/>
      <c r="Y61" s="136"/>
      <c r="Z61" s="136"/>
      <c r="AA61" s="136"/>
      <c r="AB61" s="136"/>
      <c r="AC61" s="86"/>
    </row>
    <row r="62" spans="2:29">
      <c r="B62" s="4" t="s">
        <v>29</v>
      </c>
      <c r="C62" s="4">
        <v>5</v>
      </c>
      <c r="D62" s="4">
        <v>879000</v>
      </c>
      <c r="E62" s="71" t="s">
        <v>31</v>
      </c>
      <c r="F62" s="71">
        <v>2</v>
      </c>
      <c r="G62" s="71">
        <v>804000</v>
      </c>
      <c r="I62" s="4" t="s">
        <v>29</v>
      </c>
      <c r="J62" s="4">
        <v>6</v>
      </c>
      <c r="K62" s="4">
        <v>359000</v>
      </c>
      <c r="L62" s="4" t="s">
        <v>31</v>
      </c>
      <c r="M62" s="4">
        <v>152</v>
      </c>
      <c r="N62" s="4">
        <v>299000</v>
      </c>
      <c r="P62" s="4" t="s">
        <v>29</v>
      </c>
      <c r="Q62" s="4">
        <v>59</v>
      </c>
      <c r="R62" s="90">
        <v>649000</v>
      </c>
      <c r="S62" s="4" t="s">
        <v>31</v>
      </c>
      <c r="T62" s="4">
        <v>12</v>
      </c>
      <c r="U62" s="4">
        <v>729000</v>
      </c>
      <c r="W62" s="136"/>
      <c r="X62" s="136"/>
      <c r="Y62" s="136"/>
      <c r="Z62" s="136"/>
      <c r="AA62" s="136"/>
      <c r="AB62" s="136"/>
      <c r="AC62" s="86"/>
    </row>
    <row r="63" spans="2:29">
      <c r="B63" s="4" t="s">
        <v>29</v>
      </c>
      <c r="C63" s="4">
        <v>8</v>
      </c>
      <c r="D63" s="4">
        <v>875000</v>
      </c>
      <c r="E63" s="71" t="s">
        <v>31</v>
      </c>
      <c r="F63" s="71">
        <v>49</v>
      </c>
      <c r="G63" s="71">
        <v>799000</v>
      </c>
      <c r="I63" s="4" t="s">
        <v>29</v>
      </c>
      <c r="J63" s="4">
        <v>53</v>
      </c>
      <c r="K63" s="4">
        <v>349000</v>
      </c>
      <c r="L63" s="4" t="s">
        <v>31</v>
      </c>
      <c r="M63" s="4">
        <v>20</v>
      </c>
      <c r="N63" s="4">
        <v>249000</v>
      </c>
      <c r="P63" s="4" t="s">
        <v>29</v>
      </c>
      <c r="Q63" s="4">
        <v>25</v>
      </c>
      <c r="R63" s="90">
        <v>640000</v>
      </c>
      <c r="S63" s="4" t="s">
        <v>31</v>
      </c>
      <c r="T63" s="4">
        <v>2</v>
      </c>
      <c r="U63" s="4">
        <v>719000</v>
      </c>
      <c r="W63" s="86"/>
      <c r="X63" s="86"/>
      <c r="Y63" s="86"/>
      <c r="Z63" s="86"/>
      <c r="AA63" s="86"/>
      <c r="AB63" s="86"/>
      <c r="AC63" s="86"/>
    </row>
    <row r="64" spans="2:29">
      <c r="B64" s="4" t="s">
        <v>29</v>
      </c>
      <c r="C64" s="4">
        <v>40</v>
      </c>
      <c r="D64" s="4">
        <v>869000</v>
      </c>
      <c r="E64" s="71" t="s">
        <v>31</v>
      </c>
      <c r="F64" s="71">
        <v>5</v>
      </c>
      <c r="G64" s="71">
        <v>789000</v>
      </c>
      <c r="I64" s="4" t="s">
        <v>29</v>
      </c>
      <c r="J64" s="4">
        <v>2</v>
      </c>
      <c r="K64" s="4">
        <v>330000</v>
      </c>
      <c r="L64" s="4" t="s">
        <v>31</v>
      </c>
      <c r="M64" s="4">
        <v>4</v>
      </c>
      <c r="N64" s="4">
        <v>219000</v>
      </c>
      <c r="P64" s="4" t="s">
        <v>29</v>
      </c>
      <c r="Q64" s="4">
        <v>3</v>
      </c>
      <c r="R64" s="90">
        <v>639000</v>
      </c>
      <c r="S64" s="4" t="s">
        <v>31</v>
      </c>
      <c r="T64" s="4">
        <v>315</v>
      </c>
      <c r="U64" s="4">
        <v>699000</v>
      </c>
      <c r="W64" s="86"/>
      <c r="X64" s="86"/>
      <c r="Y64" s="86"/>
      <c r="Z64" s="86"/>
      <c r="AA64" s="86"/>
      <c r="AB64" s="86"/>
      <c r="AC64" s="86"/>
    </row>
    <row r="65" spans="2:29">
      <c r="B65" s="4" t="s">
        <v>29</v>
      </c>
      <c r="C65" s="4">
        <v>30</v>
      </c>
      <c r="D65" s="4">
        <v>859000</v>
      </c>
      <c r="E65" s="71" t="s">
        <v>31</v>
      </c>
      <c r="F65" s="71">
        <v>5</v>
      </c>
      <c r="G65" s="71">
        <v>788000</v>
      </c>
      <c r="I65" s="91" t="s">
        <v>29</v>
      </c>
      <c r="J65" s="91">
        <v>13</v>
      </c>
      <c r="K65" s="97">
        <v>329000</v>
      </c>
      <c r="L65" s="56"/>
      <c r="M65" s="56"/>
      <c r="N65" s="56"/>
      <c r="P65" s="4" t="s">
        <v>29</v>
      </c>
      <c r="Q65" s="4">
        <v>4</v>
      </c>
      <c r="R65" s="90">
        <v>629000</v>
      </c>
      <c r="S65" s="4" t="s">
        <v>31</v>
      </c>
      <c r="T65" s="4">
        <v>9</v>
      </c>
      <c r="U65" s="4">
        <v>690000</v>
      </c>
      <c r="W65" s="86"/>
      <c r="X65" s="86"/>
      <c r="Y65" s="86"/>
      <c r="Z65" s="86"/>
      <c r="AA65" s="86"/>
      <c r="AB65" s="86"/>
      <c r="AC65" s="86"/>
    </row>
    <row r="66" spans="2:29">
      <c r="B66" s="4" t="s">
        <v>29</v>
      </c>
      <c r="C66" s="4">
        <v>2</v>
      </c>
      <c r="D66" s="4">
        <v>850000</v>
      </c>
      <c r="E66" s="71" t="s">
        <v>31</v>
      </c>
      <c r="F66" s="71">
        <v>2</v>
      </c>
      <c r="G66" s="71">
        <v>782000</v>
      </c>
      <c r="I66" s="4" t="s">
        <v>29</v>
      </c>
      <c r="J66" s="4">
        <v>13</v>
      </c>
      <c r="K66" s="4">
        <v>319000</v>
      </c>
      <c r="L66" s="56"/>
      <c r="M66" s="56"/>
      <c r="N66" s="56"/>
      <c r="P66" s="4" t="s">
        <v>29</v>
      </c>
      <c r="Q66" s="4">
        <v>241</v>
      </c>
      <c r="R66" s="90">
        <v>599000</v>
      </c>
      <c r="S66" s="4" t="s">
        <v>31</v>
      </c>
      <c r="T66" s="4">
        <v>1</v>
      </c>
      <c r="U66" s="4">
        <v>689000</v>
      </c>
      <c r="W66" s="86"/>
      <c r="X66" s="86"/>
      <c r="Y66" s="86"/>
      <c r="Z66" s="86"/>
      <c r="AA66" s="86"/>
      <c r="AB66" s="86"/>
      <c r="AC66" s="86"/>
    </row>
    <row r="67" spans="2:29">
      <c r="B67" s="4" t="s">
        <v>29</v>
      </c>
      <c r="C67" s="4">
        <v>48</v>
      </c>
      <c r="D67" s="4">
        <v>849000</v>
      </c>
      <c r="E67" s="71" t="s">
        <v>31</v>
      </c>
      <c r="F67" s="71">
        <v>15</v>
      </c>
      <c r="G67" s="71">
        <v>779000</v>
      </c>
      <c r="I67" s="4" t="s">
        <v>29</v>
      </c>
      <c r="J67" s="4">
        <v>1</v>
      </c>
      <c r="K67" s="4">
        <v>308000</v>
      </c>
      <c r="L67" s="56"/>
      <c r="M67" s="56"/>
      <c r="N67" s="56"/>
      <c r="P67" s="4" t="s">
        <v>29</v>
      </c>
      <c r="Q67" s="4">
        <v>7</v>
      </c>
      <c r="R67" s="90">
        <v>579000</v>
      </c>
      <c r="S67" s="4" t="s">
        <v>31</v>
      </c>
      <c r="T67" s="4">
        <v>5</v>
      </c>
      <c r="U67" s="4">
        <v>679000</v>
      </c>
      <c r="W67" s="86"/>
      <c r="X67" s="86"/>
      <c r="Y67" s="86"/>
      <c r="Z67" s="86"/>
      <c r="AA67" s="86"/>
      <c r="AB67" s="86"/>
      <c r="AC67" s="86"/>
    </row>
    <row r="68" spans="2:29">
      <c r="B68" s="4" t="s">
        <v>29</v>
      </c>
      <c r="C68" s="4">
        <v>1</v>
      </c>
      <c r="D68" s="4">
        <v>845000</v>
      </c>
      <c r="E68" s="71" t="s">
        <v>31</v>
      </c>
      <c r="F68" s="71">
        <v>76</v>
      </c>
      <c r="G68" s="71">
        <v>769000</v>
      </c>
      <c r="I68" s="4" t="s">
        <v>29</v>
      </c>
      <c r="J68" s="4">
        <v>1</v>
      </c>
      <c r="K68" s="4">
        <v>300000</v>
      </c>
      <c r="L68" s="56"/>
      <c r="M68" s="56"/>
      <c r="N68" s="56"/>
      <c r="P68" s="4" t="s">
        <v>29</v>
      </c>
      <c r="Q68" s="4">
        <v>4</v>
      </c>
      <c r="R68" s="90">
        <v>578000</v>
      </c>
      <c r="S68" s="4" t="s">
        <v>31</v>
      </c>
      <c r="T68" s="4">
        <v>3</v>
      </c>
      <c r="U68" s="4">
        <v>669000</v>
      </c>
      <c r="W68" s="86"/>
      <c r="X68" s="86"/>
      <c r="Y68" s="86"/>
      <c r="Z68" s="86"/>
      <c r="AA68" s="86"/>
      <c r="AB68" s="86"/>
      <c r="AC68" s="86"/>
    </row>
    <row r="69" spans="2:29">
      <c r="B69" s="4" t="s">
        <v>29</v>
      </c>
      <c r="C69" s="4">
        <v>5</v>
      </c>
      <c r="D69" s="4">
        <v>838000</v>
      </c>
      <c r="E69" s="71" t="s">
        <v>31</v>
      </c>
      <c r="F69" s="71">
        <v>3</v>
      </c>
      <c r="G69" s="71">
        <v>768000</v>
      </c>
      <c r="I69" s="4" t="s">
        <v>29</v>
      </c>
      <c r="J69" s="4">
        <v>240</v>
      </c>
      <c r="K69" s="4">
        <v>299000</v>
      </c>
      <c r="L69" s="56"/>
      <c r="M69" s="56"/>
      <c r="N69" s="56"/>
      <c r="P69" s="4" t="s">
        <v>29</v>
      </c>
      <c r="Q69" s="4">
        <v>2</v>
      </c>
      <c r="R69" s="90">
        <v>552000</v>
      </c>
      <c r="S69" s="4" t="s">
        <v>31</v>
      </c>
      <c r="T69" s="4">
        <v>62</v>
      </c>
      <c r="U69" s="4">
        <v>649000</v>
      </c>
      <c r="W69" s="86"/>
      <c r="X69" s="86"/>
      <c r="Y69" s="86"/>
      <c r="Z69" s="86"/>
      <c r="AA69" s="86"/>
      <c r="AB69" s="86"/>
      <c r="AC69" s="86"/>
    </row>
    <row r="70" spans="2:29">
      <c r="B70" s="4" t="s">
        <v>29</v>
      </c>
      <c r="C70" s="4">
        <v>7</v>
      </c>
      <c r="D70" s="4">
        <v>829000</v>
      </c>
      <c r="E70" s="71" t="s">
        <v>31</v>
      </c>
      <c r="F70" s="71">
        <v>1</v>
      </c>
      <c r="G70" s="71">
        <v>765000</v>
      </c>
      <c r="I70" s="4" t="s">
        <v>29</v>
      </c>
      <c r="J70" s="4">
        <v>3</v>
      </c>
      <c r="K70" s="4">
        <v>280000</v>
      </c>
      <c r="L70" s="56"/>
      <c r="M70" s="56"/>
      <c r="N70" s="56"/>
      <c r="P70" s="4" t="s">
        <v>29</v>
      </c>
      <c r="Q70" s="4">
        <v>2</v>
      </c>
      <c r="R70" s="90">
        <v>550000</v>
      </c>
      <c r="S70" s="4" t="s">
        <v>31</v>
      </c>
      <c r="T70" s="4">
        <v>10</v>
      </c>
      <c r="U70" s="4">
        <v>640000</v>
      </c>
      <c r="W70" s="86"/>
      <c r="X70" s="86"/>
      <c r="Y70" s="86"/>
      <c r="Z70" s="86"/>
      <c r="AA70" s="86"/>
      <c r="AB70" s="86"/>
      <c r="AC70" s="86"/>
    </row>
    <row r="71" spans="2:29">
      <c r="B71" s="4" t="s">
        <v>29</v>
      </c>
      <c r="C71" s="4">
        <v>34</v>
      </c>
      <c r="D71" s="4">
        <v>819000</v>
      </c>
      <c r="E71" s="71" t="s">
        <v>31</v>
      </c>
      <c r="F71" s="71">
        <v>6</v>
      </c>
      <c r="G71" s="71">
        <v>759000</v>
      </c>
      <c r="I71" s="4" t="s">
        <v>29</v>
      </c>
      <c r="J71" s="4">
        <v>40</v>
      </c>
      <c r="K71" s="4">
        <v>249000</v>
      </c>
      <c r="L71" s="56"/>
      <c r="M71" s="56"/>
      <c r="N71" s="56"/>
      <c r="P71" s="4" t="s">
        <v>29</v>
      </c>
      <c r="Q71" s="4">
        <v>22</v>
      </c>
      <c r="R71" s="90">
        <v>549000</v>
      </c>
      <c r="S71" s="4" t="s">
        <v>31</v>
      </c>
      <c r="T71" s="4">
        <v>3</v>
      </c>
      <c r="U71" s="4">
        <v>639000</v>
      </c>
      <c r="W71" s="86"/>
      <c r="X71" s="86"/>
      <c r="Y71" s="86"/>
      <c r="Z71" s="86"/>
      <c r="AA71" s="86"/>
      <c r="AB71" s="86"/>
      <c r="AC71" s="86"/>
    </row>
    <row r="72" spans="2:29">
      <c r="B72" s="4" t="s">
        <v>29</v>
      </c>
      <c r="C72" s="4">
        <v>28</v>
      </c>
      <c r="D72" s="4">
        <v>809000</v>
      </c>
      <c r="E72" s="71" t="s">
        <v>31</v>
      </c>
      <c r="F72" s="71">
        <v>1</v>
      </c>
      <c r="G72" s="71">
        <v>758000</v>
      </c>
      <c r="I72" s="4" t="s">
        <v>29</v>
      </c>
      <c r="J72" s="4">
        <v>12</v>
      </c>
      <c r="K72" s="4">
        <v>219000</v>
      </c>
      <c r="L72" s="56"/>
      <c r="M72" s="56"/>
      <c r="N72" s="56"/>
      <c r="P72" s="4" t="s">
        <v>29</v>
      </c>
      <c r="Q72" s="4">
        <v>3</v>
      </c>
      <c r="R72" s="90">
        <v>538000</v>
      </c>
      <c r="S72" s="4" t="s">
        <v>31</v>
      </c>
      <c r="T72" s="4">
        <v>140</v>
      </c>
      <c r="U72" s="4">
        <v>599000</v>
      </c>
      <c r="W72" s="86"/>
      <c r="X72" s="86"/>
      <c r="Y72" s="86"/>
      <c r="Z72" s="86"/>
      <c r="AA72" s="86"/>
      <c r="AB72" s="86"/>
      <c r="AC72" s="86"/>
    </row>
    <row r="73" spans="2:29">
      <c r="B73" s="4" t="s">
        <v>29</v>
      </c>
      <c r="C73" s="4">
        <v>1</v>
      </c>
      <c r="D73" s="4">
        <v>804000</v>
      </c>
      <c r="E73" s="71" t="s">
        <v>31</v>
      </c>
      <c r="F73" s="71">
        <v>30</v>
      </c>
      <c r="G73" s="71">
        <v>749000</v>
      </c>
      <c r="I73" s="4" t="s">
        <v>29</v>
      </c>
      <c r="J73" s="4">
        <v>1</v>
      </c>
      <c r="K73" s="4">
        <v>160000</v>
      </c>
      <c r="L73" s="56"/>
      <c r="M73" s="56"/>
      <c r="N73" s="56"/>
      <c r="P73" s="4" t="s">
        <v>29</v>
      </c>
      <c r="Q73" s="4">
        <v>2</v>
      </c>
      <c r="R73" s="90">
        <v>532000</v>
      </c>
      <c r="S73" s="4" t="s">
        <v>31</v>
      </c>
      <c r="T73" s="4">
        <v>3</v>
      </c>
      <c r="U73" s="4">
        <v>579000</v>
      </c>
      <c r="W73" s="86"/>
      <c r="X73" s="86"/>
      <c r="Y73" s="86"/>
      <c r="Z73" s="86"/>
      <c r="AA73" s="86"/>
      <c r="AB73" s="86"/>
      <c r="AC73" s="86"/>
    </row>
    <row r="74" spans="2:29">
      <c r="B74" s="4" t="s">
        <v>29</v>
      </c>
      <c r="C74" s="4">
        <v>2</v>
      </c>
      <c r="D74" s="4">
        <v>800000</v>
      </c>
      <c r="E74" s="71" t="s">
        <v>31</v>
      </c>
      <c r="F74" s="71">
        <v>2</v>
      </c>
      <c r="G74" s="71">
        <v>745000</v>
      </c>
      <c r="I74" s="56"/>
      <c r="J74" s="56"/>
      <c r="K74" s="56"/>
      <c r="L74" s="56"/>
      <c r="M74" s="56"/>
      <c r="N74" s="56"/>
      <c r="P74" s="4" t="s">
        <v>29</v>
      </c>
      <c r="Q74" s="4">
        <v>30</v>
      </c>
      <c r="R74" s="90">
        <v>529000</v>
      </c>
      <c r="S74" s="4" t="s">
        <v>31</v>
      </c>
      <c r="T74" s="4">
        <v>4</v>
      </c>
      <c r="U74" s="4">
        <v>578000</v>
      </c>
      <c r="W74" s="86"/>
      <c r="X74" s="86"/>
      <c r="Y74" s="86"/>
      <c r="Z74" s="86"/>
      <c r="AA74" s="86"/>
      <c r="AB74" s="86"/>
      <c r="AC74" s="86"/>
    </row>
    <row r="75" spans="2:29">
      <c r="B75" s="4" t="s">
        <v>29</v>
      </c>
      <c r="C75" s="4">
        <v>95</v>
      </c>
      <c r="D75" s="4">
        <v>799000</v>
      </c>
      <c r="E75" s="71" t="s">
        <v>31</v>
      </c>
      <c r="F75" s="71">
        <v>17</v>
      </c>
      <c r="G75" s="71">
        <v>739000</v>
      </c>
      <c r="P75" s="4" t="s">
        <v>29</v>
      </c>
      <c r="Q75" s="4">
        <v>1</v>
      </c>
      <c r="R75" s="90">
        <v>520000</v>
      </c>
      <c r="S75" s="4" t="s">
        <v>31</v>
      </c>
      <c r="T75" s="4">
        <v>2</v>
      </c>
      <c r="U75" s="4">
        <v>552000</v>
      </c>
      <c r="W75" s="86"/>
      <c r="X75" s="86"/>
      <c r="Y75" s="86"/>
      <c r="Z75" s="86"/>
      <c r="AA75" s="86"/>
      <c r="AB75" s="86"/>
      <c r="AC75" s="86"/>
    </row>
    <row r="76" spans="2:29">
      <c r="B76" s="4" t="s">
        <v>29</v>
      </c>
      <c r="C76" s="4">
        <v>15</v>
      </c>
      <c r="D76" s="4">
        <v>789000</v>
      </c>
      <c r="E76" s="71" t="s">
        <v>31</v>
      </c>
      <c r="F76" s="71">
        <v>4</v>
      </c>
      <c r="G76" s="71">
        <v>729000</v>
      </c>
      <c r="P76" s="4" t="s">
        <v>29</v>
      </c>
      <c r="Q76" s="4">
        <v>6</v>
      </c>
      <c r="R76" s="90">
        <v>512000</v>
      </c>
      <c r="S76" s="4" t="s">
        <v>31</v>
      </c>
      <c r="T76" s="4">
        <v>20</v>
      </c>
      <c r="U76" s="4">
        <v>549000</v>
      </c>
      <c r="W76" s="86"/>
      <c r="X76" s="86"/>
      <c r="Y76" s="86"/>
      <c r="Z76" s="86"/>
      <c r="AA76" s="86"/>
      <c r="AB76" s="86"/>
      <c r="AC76" s="86"/>
    </row>
    <row r="77" spans="2:29">
      <c r="B77" s="4" t="s">
        <v>29</v>
      </c>
      <c r="C77" s="4">
        <v>10</v>
      </c>
      <c r="D77" s="4">
        <v>788000</v>
      </c>
      <c r="E77" s="71" t="s">
        <v>31</v>
      </c>
      <c r="F77" s="71">
        <v>17</v>
      </c>
      <c r="G77" s="71">
        <v>719000</v>
      </c>
      <c r="P77" s="4" t="s">
        <v>29</v>
      </c>
      <c r="Q77" s="4">
        <v>9</v>
      </c>
      <c r="R77" s="90">
        <v>500000</v>
      </c>
      <c r="S77" s="4" t="s">
        <v>31</v>
      </c>
      <c r="T77" s="4">
        <v>4</v>
      </c>
      <c r="U77" s="4">
        <v>545000</v>
      </c>
      <c r="W77" s="86"/>
      <c r="X77" s="86"/>
      <c r="Y77" s="86"/>
      <c r="Z77" s="86"/>
      <c r="AA77" s="86"/>
      <c r="AB77" s="86"/>
      <c r="AC77" s="86"/>
    </row>
    <row r="78" spans="2:29">
      <c r="B78" s="4" t="s">
        <v>29</v>
      </c>
      <c r="C78" s="4">
        <v>1</v>
      </c>
      <c r="D78" s="4">
        <v>782000</v>
      </c>
      <c r="E78" s="71" t="s">
        <v>31</v>
      </c>
      <c r="F78" s="71">
        <v>1</v>
      </c>
      <c r="G78" s="71">
        <v>718000</v>
      </c>
      <c r="P78" s="4" t="s">
        <v>29</v>
      </c>
      <c r="Q78" s="4">
        <v>293</v>
      </c>
      <c r="R78" s="90">
        <v>499000</v>
      </c>
      <c r="S78" s="4" t="s">
        <v>31</v>
      </c>
      <c r="T78" s="4">
        <v>3</v>
      </c>
      <c r="U78" s="4">
        <v>538000</v>
      </c>
      <c r="W78" s="86"/>
      <c r="X78" s="86"/>
      <c r="Y78" s="86"/>
      <c r="Z78" s="86"/>
      <c r="AA78" s="86"/>
      <c r="AB78" s="86"/>
      <c r="AC78" s="86"/>
    </row>
    <row r="79" spans="2:29">
      <c r="B79" s="4" t="s">
        <v>29</v>
      </c>
      <c r="C79" s="4">
        <v>3</v>
      </c>
      <c r="D79" s="4">
        <v>780000</v>
      </c>
      <c r="E79" s="71" t="s">
        <v>31</v>
      </c>
      <c r="F79" s="71">
        <v>1</v>
      </c>
      <c r="G79" s="71">
        <v>715000</v>
      </c>
      <c r="P79" s="4" t="s">
        <v>29</v>
      </c>
      <c r="Q79" s="4">
        <v>1</v>
      </c>
      <c r="R79" s="90">
        <v>490000</v>
      </c>
      <c r="S79" s="4" t="s">
        <v>31</v>
      </c>
      <c r="T79" s="4">
        <v>2</v>
      </c>
      <c r="U79" s="4">
        <v>532000</v>
      </c>
      <c r="W79" s="86"/>
      <c r="X79" s="86"/>
      <c r="Y79" s="86"/>
      <c r="Z79" s="86"/>
      <c r="AA79" s="86"/>
      <c r="AB79" s="86"/>
      <c r="AC79" s="86"/>
    </row>
    <row r="80" spans="2:29">
      <c r="B80" s="4" t="s">
        <v>29</v>
      </c>
      <c r="C80" s="4">
        <v>17</v>
      </c>
      <c r="D80" s="4">
        <v>779000</v>
      </c>
      <c r="E80" s="71" t="s">
        <v>31</v>
      </c>
      <c r="F80" s="71">
        <v>1</v>
      </c>
      <c r="G80" s="71">
        <v>710000</v>
      </c>
      <c r="P80" s="4" t="s">
        <v>29</v>
      </c>
      <c r="Q80" s="4">
        <v>6</v>
      </c>
      <c r="R80" s="90">
        <v>488000</v>
      </c>
      <c r="S80" s="4" t="s">
        <v>31</v>
      </c>
      <c r="T80" s="4">
        <v>28</v>
      </c>
      <c r="U80" s="4">
        <v>529000</v>
      </c>
      <c r="W80" s="86"/>
      <c r="X80" s="86"/>
      <c r="Y80" s="86"/>
      <c r="Z80" s="86"/>
      <c r="AA80" s="86"/>
      <c r="AB80" s="86"/>
      <c r="AC80" s="86"/>
    </row>
    <row r="81" spans="2:29">
      <c r="B81" s="4" t="s">
        <v>29</v>
      </c>
      <c r="C81" s="4">
        <v>144</v>
      </c>
      <c r="D81" s="4">
        <v>769000</v>
      </c>
      <c r="E81" s="71" t="s">
        <v>31</v>
      </c>
      <c r="F81" s="71">
        <v>4</v>
      </c>
      <c r="G81" s="71">
        <v>709000</v>
      </c>
      <c r="P81" s="4" t="s">
        <v>29</v>
      </c>
      <c r="Q81" s="4">
        <v>11</v>
      </c>
      <c r="R81" s="90">
        <v>481000</v>
      </c>
      <c r="S81" s="4" t="s">
        <v>31</v>
      </c>
      <c r="T81" s="4">
        <v>5</v>
      </c>
      <c r="U81" s="4">
        <v>512000</v>
      </c>
      <c r="W81" s="86"/>
      <c r="X81" s="86"/>
      <c r="Y81" s="86"/>
      <c r="Z81" s="86"/>
      <c r="AA81" s="86"/>
      <c r="AB81" s="86"/>
      <c r="AC81" s="86"/>
    </row>
    <row r="82" spans="2:29">
      <c r="B82" s="4" t="s">
        <v>29</v>
      </c>
      <c r="C82" s="4">
        <v>3</v>
      </c>
      <c r="D82" s="4">
        <v>768000</v>
      </c>
      <c r="E82" s="71" t="s">
        <v>31</v>
      </c>
      <c r="F82" s="71">
        <v>37</v>
      </c>
      <c r="G82" s="71">
        <v>699000</v>
      </c>
      <c r="P82" s="4" t="s">
        <v>29</v>
      </c>
      <c r="Q82" s="4">
        <v>1</v>
      </c>
      <c r="R82" s="90">
        <v>479000</v>
      </c>
      <c r="S82" s="4" t="s">
        <v>31</v>
      </c>
      <c r="T82" s="4">
        <v>11</v>
      </c>
      <c r="U82" s="4">
        <v>500000</v>
      </c>
      <c r="W82" s="86"/>
      <c r="X82" s="86"/>
      <c r="Y82" s="86"/>
      <c r="Z82" s="86"/>
      <c r="AA82" s="86"/>
      <c r="AB82" s="86"/>
      <c r="AC82" s="86"/>
    </row>
    <row r="83" spans="2:29">
      <c r="B83" s="4" t="s">
        <v>29</v>
      </c>
      <c r="C83" s="4">
        <v>1</v>
      </c>
      <c r="D83" s="4">
        <v>765000</v>
      </c>
      <c r="E83" s="71" t="s">
        <v>31</v>
      </c>
      <c r="F83" s="71">
        <v>4</v>
      </c>
      <c r="G83" s="71">
        <v>689000</v>
      </c>
      <c r="P83" s="4" t="s">
        <v>29</v>
      </c>
      <c r="Q83" s="4">
        <v>15</v>
      </c>
      <c r="R83" s="90">
        <v>469000</v>
      </c>
      <c r="S83" s="4" t="s">
        <v>31</v>
      </c>
      <c r="T83" s="4">
        <v>217</v>
      </c>
      <c r="U83" s="4">
        <v>499000</v>
      </c>
      <c r="W83" s="86"/>
      <c r="X83" s="86"/>
      <c r="Y83" s="86"/>
      <c r="Z83" s="86"/>
      <c r="AA83" s="86"/>
      <c r="AB83" s="86"/>
      <c r="AC83" s="86"/>
    </row>
    <row r="84" spans="2:29">
      <c r="B84" s="4" t="s">
        <v>29</v>
      </c>
      <c r="C84" s="4">
        <v>32</v>
      </c>
      <c r="D84" s="4">
        <v>759000</v>
      </c>
      <c r="E84" s="71" t="s">
        <v>31</v>
      </c>
      <c r="F84" s="71">
        <v>8</v>
      </c>
      <c r="G84" s="71">
        <v>688000</v>
      </c>
      <c r="P84" s="4" t="s">
        <v>29</v>
      </c>
      <c r="Q84" s="4">
        <v>1</v>
      </c>
      <c r="R84" s="90">
        <v>450000</v>
      </c>
      <c r="S84" s="4" t="s">
        <v>31</v>
      </c>
      <c r="T84" s="4">
        <v>1</v>
      </c>
      <c r="U84" s="4">
        <v>490000</v>
      </c>
      <c r="W84" s="86"/>
      <c r="X84" s="86"/>
      <c r="Y84" s="86"/>
      <c r="Z84" s="86"/>
      <c r="AA84" s="86"/>
      <c r="AB84" s="86"/>
      <c r="AC84" s="86"/>
    </row>
    <row r="85" spans="2:29">
      <c r="B85" s="4" t="s">
        <v>29</v>
      </c>
      <c r="C85" s="4">
        <v>1</v>
      </c>
      <c r="D85" s="4">
        <v>758000</v>
      </c>
      <c r="E85" s="71" t="s">
        <v>31</v>
      </c>
      <c r="F85" s="71">
        <v>4</v>
      </c>
      <c r="G85" s="71">
        <v>679000</v>
      </c>
      <c r="P85" s="4" t="s">
        <v>29</v>
      </c>
      <c r="Q85" s="4">
        <v>373</v>
      </c>
      <c r="R85" s="90">
        <v>449000</v>
      </c>
      <c r="S85" s="4" t="s">
        <v>31</v>
      </c>
      <c r="T85" s="4">
        <v>2</v>
      </c>
      <c r="U85" s="4">
        <v>489000</v>
      </c>
      <c r="W85" s="86"/>
      <c r="X85" s="86"/>
      <c r="Y85" s="86"/>
      <c r="Z85" s="86"/>
      <c r="AA85" s="86"/>
      <c r="AB85" s="86"/>
      <c r="AC85" s="86"/>
    </row>
    <row r="86" spans="2:29">
      <c r="B86" s="4" t="s">
        <v>29</v>
      </c>
      <c r="C86" s="4">
        <v>45</v>
      </c>
      <c r="D86" s="4">
        <v>749000</v>
      </c>
      <c r="E86" s="71" t="s">
        <v>31</v>
      </c>
      <c r="F86" s="71">
        <v>32</v>
      </c>
      <c r="G86" s="71">
        <v>669000</v>
      </c>
      <c r="P86" s="4" t="s">
        <v>29</v>
      </c>
      <c r="Q86" s="4">
        <v>3</v>
      </c>
      <c r="R86" s="90">
        <v>439000</v>
      </c>
      <c r="S86" s="4" t="s">
        <v>31</v>
      </c>
      <c r="T86" s="4">
        <v>8</v>
      </c>
      <c r="U86" s="4">
        <v>488000</v>
      </c>
      <c r="W86" s="86"/>
      <c r="X86" s="86"/>
      <c r="Y86" s="86"/>
      <c r="Z86" s="86"/>
      <c r="AA86" s="86"/>
      <c r="AB86" s="86"/>
      <c r="AC86" s="86"/>
    </row>
    <row r="87" spans="2:29">
      <c r="B87" s="4" t="s">
        <v>29</v>
      </c>
      <c r="C87" s="4">
        <v>2</v>
      </c>
      <c r="D87" s="4">
        <v>748000</v>
      </c>
      <c r="E87" s="71" t="s">
        <v>31</v>
      </c>
      <c r="F87" s="71">
        <v>1</v>
      </c>
      <c r="G87" s="71">
        <v>667000</v>
      </c>
      <c r="P87" s="4" t="s">
        <v>29</v>
      </c>
      <c r="Q87" s="4">
        <v>4</v>
      </c>
      <c r="R87" s="90">
        <v>432000</v>
      </c>
      <c r="S87" s="4" t="s">
        <v>31</v>
      </c>
      <c r="T87" s="4">
        <v>5</v>
      </c>
      <c r="U87" s="4">
        <v>481000</v>
      </c>
      <c r="W87" s="86"/>
      <c r="X87" s="86"/>
      <c r="Y87" s="86"/>
      <c r="Z87" s="86"/>
      <c r="AA87" s="86"/>
      <c r="AB87" s="86"/>
      <c r="AC87" s="86"/>
    </row>
    <row r="88" spans="2:29">
      <c r="B88" s="4" t="s">
        <v>29</v>
      </c>
      <c r="C88" s="4">
        <v>2</v>
      </c>
      <c r="D88" s="4">
        <v>745000</v>
      </c>
      <c r="E88" s="71" t="s">
        <v>31</v>
      </c>
      <c r="F88" s="71">
        <v>10</v>
      </c>
      <c r="G88" s="71">
        <v>649000</v>
      </c>
      <c r="P88" s="4" t="s">
        <v>29</v>
      </c>
      <c r="Q88" s="4">
        <v>13</v>
      </c>
      <c r="R88" s="90">
        <v>429000</v>
      </c>
      <c r="S88" s="4" t="s">
        <v>31</v>
      </c>
      <c r="T88" s="4">
        <v>1</v>
      </c>
      <c r="U88" s="4">
        <v>479000</v>
      </c>
      <c r="W88" s="86"/>
      <c r="X88" s="86"/>
      <c r="Y88" s="86"/>
      <c r="Z88" s="86"/>
      <c r="AA88" s="86"/>
      <c r="AB88" s="86"/>
      <c r="AC88" s="86"/>
    </row>
    <row r="89" spans="2:29">
      <c r="B89" s="4" t="s">
        <v>29</v>
      </c>
      <c r="C89" s="4">
        <v>7</v>
      </c>
      <c r="D89" s="4">
        <v>739000</v>
      </c>
      <c r="E89" s="71" t="s">
        <v>31</v>
      </c>
      <c r="F89" s="71">
        <v>6</v>
      </c>
      <c r="G89" s="71">
        <v>640000</v>
      </c>
      <c r="P89" s="4" t="s">
        <v>29</v>
      </c>
      <c r="Q89" s="4">
        <v>8</v>
      </c>
      <c r="R89" s="90">
        <v>412000</v>
      </c>
      <c r="S89" s="4" t="s">
        <v>31</v>
      </c>
      <c r="T89" s="4">
        <v>30</v>
      </c>
      <c r="U89" s="4">
        <v>469000</v>
      </c>
      <c r="W89" s="86"/>
      <c r="X89" s="86"/>
      <c r="Y89" s="86"/>
      <c r="Z89" s="86"/>
      <c r="AA89" s="86"/>
      <c r="AB89" s="86"/>
      <c r="AC89" s="86"/>
    </row>
    <row r="90" spans="2:29">
      <c r="B90" s="4" t="s">
        <v>29</v>
      </c>
      <c r="C90" s="4">
        <v>6</v>
      </c>
      <c r="D90" s="4">
        <v>729000</v>
      </c>
      <c r="E90" s="71" t="s">
        <v>31</v>
      </c>
      <c r="F90" s="71">
        <v>18</v>
      </c>
      <c r="G90" s="71">
        <v>639000</v>
      </c>
      <c r="P90" s="4" t="s">
        <v>29</v>
      </c>
      <c r="Q90" s="4">
        <v>4</v>
      </c>
      <c r="R90" s="90">
        <v>408000</v>
      </c>
      <c r="S90" s="4" t="s">
        <v>31</v>
      </c>
      <c r="T90" s="4">
        <v>1</v>
      </c>
      <c r="U90" s="4">
        <v>450000</v>
      </c>
    </row>
    <row r="91" spans="2:29">
      <c r="B91" s="4" t="s">
        <v>29</v>
      </c>
      <c r="C91" s="4">
        <v>26</v>
      </c>
      <c r="D91" s="4">
        <v>719000</v>
      </c>
      <c r="E91" s="71" t="s">
        <v>31</v>
      </c>
      <c r="F91" s="71">
        <v>4</v>
      </c>
      <c r="G91" s="71">
        <v>635000</v>
      </c>
      <c r="P91" s="4" t="s">
        <v>29</v>
      </c>
      <c r="Q91" s="4">
        <v>2</v>
      </c>
      <c r="R91" s="90">
        <v>400000</v>
      </c>
      <c r="S91" s="4" t="s">
        <v>31</v>
      </c>
      <c r="T91" s="4">
        <v>277</v>
      </c>
      <c r="U91" s="4">
        <v>449000</v>
      </c>
    </row>
    <row r="92" spans="2:29">
      <c r="B92" s="4" t="s">
        <v>29</v>
      </c>
      <c r="C92" s="4">
        <v>1</v>
      </c>
      <c r="D92" s="4">
        <v>718000</v>
      </c>
      <c r="E92" s="71" t="s">
        <v>31</v>
      </c>
      <c r="F92" s="71">
        <v>1</v>
      </c>
      <c r="G92" s="71">
        <v>620000</v>
      </c>
      <c r="P92" s="4" t="s">
        <v>29</v>
      </c>
      <c r="Q92" s="4">
        <v>232</v>
      </c>
      <c r="R92" s="90">
        <v>399000</v>
      </c>
      <c r="S92" s="4" t="s">
        <v>31</v>
      </c>
      <c r="T92" s="4">
        <v>4</v>
      </c>
      <c r="U92" s="4">
        <v>439000</v>
      </c>
    </row>
    <row r="93" spans="2:29">
      <c r="B93" s="4" t="s">
        <v>29</v>
      </c>
      <c r="C93" s="4">
        <v>1</v>
      </c>
      <c r="D93" s="4">
        <v>715000</v>
      </c>
      <c r="E93" s="71" t="s">
        <v>31</v>
      </c>
      <c r="F93" s="71">
        <v>8</v>
      </c>
      <c r="G93" s="71">
        <v>619000</v>
      </c>
      <c r="P93" s="4" t="s">
        <v>29</v>
      </c>
      <c r="Q93" s="4">
        <v>1</v>
      </c>
      <c r="R93" s="90">
        <v>395000</v>
      </c>
      <c r="S93" s="4" t="s">
        <v>31</v>
      </c>
      <c r="T93" s="4">
        <v>6</v>
      </c>
      <c r="U93" s="4">
        <v>429000</v>
      </c>
    </row>
    <row r="94" spans="2:29">
      <c r="B94" s="4" t="s">
        <v>29</v>
      </c>
      <c r="C94" s="4">
        <v>2</v>
      </c>
      <c r="D94" s="4">
        <v>710000</v>
      </c>
      <c r="E94" s="71" t="s">
        <v>31</v>
      </c>
      <c r="F94" s="71">
        <v>26</v>
      </c>
      <c r="G94" s="71">
        <v>599000</v>
      </c>
      <c r="P94" s="4" t="s">
        <v>29</v>
      </c>
      <c r="Q94" s="4">
        <v>24</v>
      </c>
      <c r="R94" s="90">
        <v>390000</v>
      </c>
      <c r="S94" s="4" t="s">
        <v>31</v>
      </c>
      <c r="T94" s="4">
        <v>4</v>
      </c>
      <c r="U94" s="4">
        <v>420000</v>
      </c>
    </row>
    <row r="95" spans="2:29">
      <c r="B95" s="4" t="s">
        <v>29</v>
      </c>
      <c r="C95" s="4">
        <v>5</v>
      </c>
      <c r="D95" s="4">
        <v>709000</v>
      </c>
      <c r="E95" s="71" t="s">
        <v>31</v>
      </c>
      <c r="F95" s="71">
        <v>11</v>
      </c>
      <c r="G95" s="71">
        <v>589000</v>
      </c>
      <c r="P95" s="4" t="s">
        <v>29</v>
      </c>
      <c r="Q95" s="4">
        <v>12</v>
      </c>
      <c r="R95" s="90">
        <v>389000</v>
      </c>
      <c r="S95" s="4" t="s">
        <v>31</v>
      </c>
      <c r="T95" s="4">
        <v>5</v>
      </c>
      <c r="U95" s="4">
        <v>412000</v>
      </c>
    </row>
    <row r="96" spans="2:29">
      <c r="B96" s="4" t="s">
        <v>29</v>
      </c>
      <c r="C96" s="4">
        <v>50</v>
      </c>
      <c r="D96" s="4">
        <v>699000</v>
      </c>
      <c r="E96" s="71" t="s">
        <v>31</v>
      </c>
      <c r="F96" s="71">
        <v>1</v>
      </c>
      <c r="G96" s="71">
        <v>588500</v>
      </c>
      <c r="P96" s="4" t="s">
        <v>29</v>
      </c>
      <c r="Q96" s="4">
        <v>7</v>
      </c>
      <c r="R96" s="90">
        <v>388000</v>
      </c>
      <c r="S96" s="4" t="s">
        <v>31</v>
      </c>
      <c r="T96" s="4">
        <v>1</v>
      </c>
      <c r="U96" s="4">
        <v>408000</v>
      </c>
    </row>
    <row r="97" spans="2:21">
      <c r="B97" s="4" t="s">
        <v>29</v>
      </c>
      <c r="C97" s="4">
        <v>23</v>
      </c>
      <c r="D97" s="4">
        <v>689000</v>
      </c>
      <c r="E97" s="71" t="s">
        <v>31</v>
      </c>
      <c r="F97" s="71">
        <v>1</v>
      </c>
      <c r="G97" s="71">
        <v>588000</v>
      </c>
      <c r="P97" s="4" t="s">
        <v>29</v>
      </c>
      <c r="Q97" s="4">
        <v>1</v>
      </c>
      <c r="R97" s="90">
        <v>383000</v>
      </c>
      <c r="S97" s="4" t="s">
        <v>31</v>
      </c>
      <c r="T97" s="4">
        <v>11</v>
      </c>
      <c r="U97" s="4">
        <v>400000</v>
      </c>
    </row>
    <row r="98" spans="2:21">
      <c r="B98" s="4" t="s">
        <v>29</v>
      </c>
      <c r="C98" s="4">
        <v>13</v>
      </c>
      <c r="D98" s="4">
        <v>688000</v>
      </c>
      <c r="E98" s="71" t="s">
        <v>31</v>
      </c>
      <c r="F98" s="71">
        <v>3</v>
      </c>
      <c r="G98" s="71">
        <v>582000</v>
      </c>
      <c r="P98" s="4" t="s">
        <v>29</v>
      </c>
      <c r="Q98" s="4">
        <v>1</v>
      </c>
      <c r="R98" s="90">
        <v>382000</v>
      </c>
      <c r="S98" s="4" t="s">
        <v>31</v>
      </c>
      <c r="T98" s="4">
        <v>151</v>
      </c>
      <c r="U98" s="4">
        <v>399000</v>
      </c>
    </row>
    <row r="99" spans="2:21">
      <c r="B99" s="4" t="s">
        <v>29</v>
      </c>
      <c r="C99" s="4">
        <v>6</v>
      </c>
      <c r="D99" s="4">
        <v>680000</v>
      </c>
      <c r="E99" s="71" t="s">
        <v>31</v>
      </c>
      <c r="F99" s="71">
        <v>11</v>
      </c>
      <c r="G99" s="71">
        <v>579000</v>
      </c>
      <c r="P99" s="4" t="s">
        <v>29</v>
      </c>
      <c r="Q99" s="4">
        <v>2</v>
      </c>
      <c r="R99" s="90">
        <v>380000</v>
      </c>
      <c r="S99" s="4" t="s">
        <v>31</v>
      </c>
      <c r="T99" s="4">
        <v>3</v>
      </c>
      <c r="U99" s="4">
        <v>395000</v>
      </c>
    </row>
    <row r="100" spans="2:21">
      <c r="B100" s="4" t="s">
        <v>29</v>
      </c>
      <c r="C100" s="4">
        <v>21</v>
      </c>
      <c r="D100" s="4">
        <v>679000</v>
      </c>
      <c r="E100" s="71" t="s">
        <v>31</v>
      </c>
      <c r="F100" s="71">
        <v>3</v>
      </c>
      <c r="G100" s="71">
        <v>577000</v>
      </c>
      <c r="P100" s="4" t="s">
        <v>29</v>
      </c>
      <c r="Q100" s="4">
        <v>6</v>
      </c>
      <c r="R100" s="90">
        <v>370000</v>
      </c>
      <c r="S100" s="4" t="s">
        <v>31</v>
      </c>
      <c r="T100" s="4">
        <v>13</v>
      </c>
      <c r="U100" s="4">
        <v>390000</v>
      </c>
    </row>
    <row r="101" spans="2:21">
      <c r="B101" s="4" t="s">
        <v>29</v>
      </c>
      <c r="C101" s="4">
        <v>68</v>
      </c>
      <c r="D101" s="4">
        <v>669000</v>
      </c>
      <c r="E101" s="71" t="s">
        <v>31</v>
      </c>
      <c r="F101" s="71">
        <v>16</v>
      </c>
      <c r="G101" s="71">
        <v>569000</v>
      </c>
      <c r="P101" s="4" t="s">
        <v>29</v>
      </c>
      <c r="Q101" s="4">
        <v>77</v>
      </c>
      <c r="R101" s="90">
        <v>369000</v>
      </c>
      <c r="S101" s="4" t="s">
        <v>31</v>
      </c>
      <c r="T101" s="4">
        <v>1</v>
      </c>
      <c r="U101" s="4">
        <v>389000</v>
      </c>
    </row>
    <row r="102" spans="2:21">
      <c r="B102" s="4" t="s">
        <v>29</v>
      </c>
      <c r="C102" s="4">
        <v>1</v>
      </c>
      <c r="D102" s="4">
        <v>667000</v>
      </c>
      <c r="E102" s="71" t="s">
        <v>31</v>
      </c>
      <c r="F102" s="71">
        <v>5</v>
      </c>
      <c r="G102" s="71">
        <v>549000</v>
      </c>
      <c r="P102" s="4" t="s">
        <v>29</v>
      </c>
      <c r="Q102" s="4">
        <v>4</v>
      </c>
      <c r="R102" s="90">
        <v>359000</v>
      </c>
      <c r="S102" s="4" t="s">
        <v>31</v>
      </c>
      <c r="T102" s="4">
        <v>8</v>
      </c>
      <c r="U102" s="4">
        <v>388000</v>
      </c>
    </row>
    <row r="103" spans="2:21">
      <c r="B103" s="4" t="s">
        <v>29</v>
      </c>
      <c r="C103" s="4">
        <v>18</v>
      </c>
      <c r="D103" s="4">
        <v>649000</v>
      </c>
      <c r="E103" s="71" t="s">
        <v>31</v>
      </c>
      <c r="F103" s="71">
        <v>2</v>
      </c>
      <c r="G103" s="71">
        <v>546000</v>
      </c>
      <c r="P103" s="4" t="s">
        <v>29</v>
      </c>
      <c r="Q103" s="4">
        <v>2</v>
      </c>
      <c r="R103" s="90">
        <v>358000</v>
      </c>
      <c r="S103" s="4" t="s">
        <v>31</v>
      </c>
      <c r="T103" s="4">
        <v>1</v>
      </c>
      <c r="U103" s="4">
        <v>382000</v>
      </c>
    </row>
    <row r="104" spans="2:21">
      <c r="B104" s="4" t="s">
        <v>29</v>
      </c>
      <c r="C104" s="4">
        <v>7</v>
      </c>
      <c r="D104" s="4">
        <v>640000</v>
      </c>
      <c r="E104" s="71" t="s">
        <v>31</v>
      </c>
      <c r="F104" s="71">
        <v>3</v>
      </c>
      <c r="G104" s="71">
        <v>540000</v>
      </c>
      <c r="P104" s="4" t="s">
        <v>29</v>
      </c>
      <c r="Q104" s="4">
        <v>3</v>
      </c>
      <c r="R104" s="90">
        <v>352000</v>
      </c>
      <c r="S104" s="4" t="s">
        <v>31</v>
      </c>
      <c r="T104" s="4">
        <v>2</v>
      </c>
      <c r="U104" s="4">
        <v>370000</v>
      </c>
    </row>
    <row r="105" spans="2:21">
      <c r="B105" s="4" t="s">
        <v>29</v>
      </c>
      <c r="C105" s="4">
        <v>16</v>
      </c>
      <c r="D105" s="4">
        <v>639000</v>
      </c>
      <c r="E105" s="71" t="s">
        <v>31</v>
      </c>
      <c r="F105" s="71">
        <v>5</v>
      </c>
      <c r="G105" s="71">
        <v>538000</v>
      </c>
      <c r="P105" s="4" t="s">
        <v>29</v>
      </c>
      <c r="Q105" s="4">
        <v>1</v>
      </c>
      <c r="R105" s="90">
        <v>350000</v>
      </c>
      <c r="S105" s="4" t="s">
        <v>31</v>
      </c>
      <c r="T105" s="4">
        <v>36</v>
      </c>
      <c r="U105" s="4">
        <v>369000</v>
      </c>
    </row>
    <row r="106" spans="2:21">
      <c r="B106" s="4" t="s">
        <v>29</v>
      </c>
      <c r="C106" s="4">
        <v>1</v>
      </c>
      <c r="D106" s="4">
        <v>635000</v>
      </c>
      <c r="E106" s="71" t="s">
        <v>31</v>
      </c>
      <c r="F106" s="71">
        <v>1</v>
      </c>
      <c r="G106" s="71">
        <v>520000</v>
      </c>
      <c r="P106" s="4" t="s">
        <v>29</v>
      </c>
      <c r="Q106" s="4">
        <v>185</v>
      </c>
      <c r="R106" s="90">
        <v>349000</v>
      </c>
      <c r="S106" s="4" t="s">
        <v>31</v>
      </c>
      <c r="T106" s="4">
        <v>2</v>
      </c>
      <c r="U106" s="4">
        <v>358000</v>
      </c>
    </row>
    <row r="107" spans="2:21">
      <c r="B107" s="4" t="s">
        <v>29</v>
      </c>
      <c r="C107" s="4">
        <v>1</v>
      </c>
      <c r="D107" s="4">
        <v>620000</v>
      </c>
      <c r="E107" s="71" t="s">
        <v>31</v>
      </c>
      <c r="F107" s="71">
        <v>1</v>
      </c>
      <c r="G107" s="71">
        <v>519000</v>
      </c>
      <c r="P107" s="4" t="s">
        <v>29</v>
      </c>
      <c r="Q107" s="4">
        <v>1</v>
      </c>
      <c r="R107" s="90">
        <v>308262</v>
      </c>
      <c r="S107" s="4" t="s">
        <v>31</v>
      </c>
      <c r="T107" s="4">
        <v>3</v>
      </c>
      <c r="U107" s="4">
        <v>352000</v>
      </c>
    </row>
    <row r="108" spans="2:21">
      <c r="B108" s="4" t="s">
        <v>29</v>
      </c>
      <c r="C108" s="4">
        <v>17</v>
      </c>
      <c r="D108" s="4">
        <v>619000</v>
      </c>
      <c r="E108" s="71" t="s">
        <v>31</v>
      </c>
      <c r="F108" s="71">
        <v>11</v>
      </c>
      <c r="G108" s="71">
        <v>499000</v>
      </c>
      <c r="P108" s="4" t="s">
        <v>29</v>
      </c>
      <c r="Q108" s="4">
        <v>2</v>
      </c>
      <c r="R108" s="90">
        <v>300000</v>
      </c>
      <c r="S108" s="4" t="s">
        <v>31</v>
      </c>
      <c r="T108" s="4">
        <v>1</v>
      </c>
      <c r="U108" s="4">
        <v>350000</v>
      </c>
    </row>
    <row r="109" spans="2:21">
      <c r="B109" s="4" t="s">
        <v>29</v>
      </c>
      <c r="C109" s="4">
        <v>57</v>
      </c>
      <c r="D109" s="4">
        <v>599000</v>
      </c>
      <c r="E109" s="71" t="s">
        <v>31</v>
      </c>
      <c r="F109" s="71">
        <v>2</v>
      </c>
      <c r="G109" s="71">
        <v>490000</v>
      </c>
      <c r="P109" s="4" t="s">
        <v>29</v>
      </c>
      <c r="Q109" s="4">
        <v>12</v>
      </c>
      <c r="R109" s="90">
        <v>299000</v>
      </c>
      <c r="S109" s="4" t="s">
        <v>31</v>
      </c>
      <c r="T109" s="4">
        <v>69</v>
      </c>
      <c r="U109" s="4">
        <v>349000</v>
      </c>
    </row>
    <row r="110" spans="2:21">
      <c r="B110" s="4" t="s">
        <v>29</v>
      </c>
      <c r="C110" s="4">
        <v>19</v>
      </c>
      <c r="D110" s="4">
        <v>589000</v>
      </c>
      <c r="E110" s="71" t="s">
        <v>31</v>
      </c>
      <c r="F110" s="71">
        <v>12</v>
      </c>
      <c r="G110" s="71">
        <v>489000</v>
      </c>
      <c r="P110" s="4" t="s">
        <v>29</v>
      </c>
      <c r="Q110" s="4">
        <v>2</v>
      </c>
      <c r="R110" s="90">
        <v>230000</v>
      </c>
      <c r="S110" s="4" t="s">
        <v>31</v>
      </c>
      <c r="T110" s="4">
        <v>1</v>
      </c>
      <c r="U110" s="4">
        <v>300000</v>
      </c>
    </row>
    <row r="111" spans="2:21">
      <c r="B111" s="4" t="s">
        <v>29</v>
      </c>
      <c r="C111" s="4">
        <v>3</v>
      </c>
      <c r="D111" s="4">
        <v>588000</v>
      </c>
      <c r="E111" s="71" t="s">
        <v>31</v>
      </c>
      <c r="F111" s="71">
        <v>6</v>
      </c>
      <c r="G111" s="71">
        <v>488000</v>
      </c>
      <c r="P111" s="4" t="s">
        <v>29</v>
      </c>
      <c r="Q111" s="4">
        <v>1</v>
      </c>
      <c r="R111" s="90">
        <v>160000</v>
      </c>
      <c r="S111" s="4" t="s">
        <v>31</v>
      </c>
      <c r="T111" s="4">
        <v>17</v>
      </c>
      <c r="U111" s="4">
        <v>299000</v>
      </c>
    </row>
    <row r="112" spans="2:21">
      <c r="B112" s="4" t="s">
        <v>29</v>
      </c>
      <c r="C112" s="4">
        <v>2</v>
      </c>
      <c r="D112" s="4">
        <v>585000</v>
      </c>
      <c r="E112" s="71" t="s">
        <v>31</v>
      </c>
      <c r="F112" s="71">
        <v>1</v>
      </c>
      <c r="G112" s="71">
        <v>485000</v>
      </c>
      <c r="P112" s="4" t="s">
        <v>29</v>
      </c>
      <c r="Q112" s="4">
        <v>2</v>
      </c>
      <c r="R112" s="4">
        <v>80000</v>
      </c>
      <c r="S112" s="4" t="s">
        <v>31</v>
      </c>
      <c r="T112" s="4">
        <v>1</v>
      </c>
      <c r="U112" s="4">
        <v>274900</v>
      </c>
    </row>
    <row r="113" spans="2:21">
      <c r="B113" s="4" t="s">
        <v>29</v>
      </c>
      <c r="C113" s="4">
        <v>1</v>
      </c>
      <c r="D113" s="4">
        <v>582000</v>
      </c>
      <c r="E113" s="71" t="s">
        <v>31</v>
      </c>
      <c r="F113" s="71">
        <v>23</v>
      </c>
      <c r="G113" s="71">
        <v>469000</v>
      </c>
      <c r="P113" s="4" t="s">
        <v>29</v>
      </c>
      <c r="Q113" s="4">
        <v>1</v>
      </c>
      <c r="R113" s="4">
        <v>70840</v>
      </c>
      <c r="S113" s="4" t="s">
        <v>31</v>
      </c>
      <c r="T113" s="4">
        <v>1</v>
      </c>
      <c r="U113" s="4">
        <v>230000</v>
      </c>
    </row>
    <row r="114" spans="2:21">
      <c r="B114" s="4" t="s">
        <v>29</v>
      </c>
      <c r="C114" s="4">
        <v>13</v>
      </c>
      <c r="D114" s="4">
        <v>579000</v>
      </c>
      <c r="E114" s="71" t="s">
        <v>31</v>
      </c>
      <c r="F114" s="71">
        <v>1</v>
      </c>
      <c r="G114" s="71">
        <v>449000</v>
      </c>
      <c r="P114" s="4" t="s">
        <v>29</v>
      </c>
      <c r="Q114" s="4">
        <v>1</v>
      </c>
      <c r="R114" s="4">
        <v>50000</v>
      </c>
      <c r="S114" s="4" t="s">
        <v>31</v>
      </c>
      <c r="T114" s="4">
        <v>1</v>
      </c>
      <c r="U114" s="4">
        <v>200000</v>
      </c>
    </row>
    <row r="115" spans="2:21">
      <c r="B115" s="4" t="s">
        <v>29</v>
      </c>
      <c r="C115" s="4">
        <v>2</v>
      </c>
      <c r="D115" s="4">
        <v>577000</v>
      </c>
      <c r="E115" s="71" t="s">
        <v>31</v>
      </c>
      <c r="F115" s="71">
        <v>24</v>
      </c>
      <c r="G115" s="71">
        <v>439000</v>
      </c>
      <c r="P115" s="56"/>
      <c r="Q115" s="56"/>
      <c r="R115" s="56"/>
      <c r="S115" s="4" t="s">
        <v>31</v>
      </c>
      <c r="T115" s="4">
        <v>1</v>
      </c>
      <c r="U115" s="4">
        <v>39900</v>
      </c>
    </row>
    <row r="116" spans="2:21">
      <c r="B116" s="4" t="s">
        <v>29</v>
      </c>
      <c r="C116" s="4">
        <v>23</v>
      </c>
      <c r="D116" s="4">
        <v>569000</v>
      </c>
      <c r="E116" s="71" t="s">
        <v>31</v>
      </c>
      <c r="F116" s="71">
        <v>16</v>
      </c>
      <c r="G116" s="71">
        <v>419000</v>
      </c>
      <c r="S116" s="56"/>
      <c r="T116" s="56"/>
      <c r="U116" s="56"/>
    </row>
    <row r="117" spans="2:21">
      <c r="B117" s="4" t="s">
        <v>29</v>
      </c>
      <c r="C117" s="4">
        <v>1</v>
      </c>
      <c r="D117" s="4">
        <v>550000</v>
      </c>
      <c r="E117" s="71" t="s">
        <v>31</v>
      </c>
      <c r="F117" s="71">
        <v>18</v>
      </c>
      <c r="G117" s="71">
        <v>399000</v>
      </c>
    </row>
    <row r="118" spans="2:21">
      <c r="B118" s="4" t="s">
        <v>29</v>
      </c>
      <c r="C118" s="4">
        <v>11</v>
      </c>
      <c r="D118" s="4">
        <v>549000</v>
      </c>
      <c r="E118" s="71" t="s">
        <v>31</v>
      </c>
      <c r="F118" s="71">
        <v>10</v>
      </c>
      <c r="G118" s="71">
        <v>389000</v>
      </c>
    </row>
    <row r="119" spans="2:21">
      <c r="B119" s="4" t="s">
        <v>29</v>
      </c>
      <c r="C119" s="4">
        <v>2</v>
      </c>
      <c r="D119" s="4">
        <v>546000</v>
      </c>
      <c r="E119" s="71" t="s">
        <v>31</v>
      </c>
      <c r="F119" s="71">
        <v>5</v>
      </c>
      <c r="G119" s="71">
        <v>388000</v>
      </c>
    </row>
    <row r="120" spans="2:21">
      <c r="B120" s="4" t="s">
        <v>29</v>
      </c>
      <c r="C120" s="4">
        <v>3</v>
      </c>
      <c r="D120" s="4">
        <v>540000</v>
      </c>
      <c r="E120" s="71" t="s">
        <v>31</v>
      </c>
      <c r="F120" s="71">
        <v>14</v>
      </c>
      <c r="G120" s="71">
        <v>375000</v>
      </c>
    </row>
    <row r="121" spans="2:21">
      <c r="B121" s="4" t="s">
        <v>29</v>
      </c>
      <c r="C121" s="4">
        <v>13</v>
      </c>
      <c r="D121" s="4">
        <v>538000</v>
      </c>
      <c r="E121" s="71" t="s">
        <v>31</v>
      </c>
      <c r="F121" s="71">
        <v>2</v>
      </c>
      <c r="G121" s="71">
        <v>373000</v>
      </c>
    </row>
    <row r="122" spans="2:21">
      <c r="B122" s="4" t="s">
        <v>29</v>
      </c>
      <c r="C122" s="4">
        <v>5</v>
      </c>
      <c r="D122" s="4">
        <v>520000</v>
      </c>
      <c r="E122" s="71" t="s">
        <v>31</v>
      </c>
      <c r="F122" s="71">
        <v>2</v>
      </c>
      <c r="G122" s="71">
        <v>372000</v>
      </c>
    </row>
    <row r="123" spans="2:21">
      <c r="B123" s="4" t="s">
        <v>29</v>
      </c>
      <c r="C123" s="4">
        <v>10</v>
      </c>
      <c r="D123" s="4">
        <v>519000</v>
      </c>
      <c r="E123" s="71" t="s">
        <v>31</v>
      </c>
      <c r="F123" s="71">
        <v>6</v>
      </c>
      <c r="G123" s="71">
        <v>369000</v>
      </c>
    </row>
    <row r="124" spans="2:21">
      <c r="B124" s="4" t="s">
        <v>29</v>
      </c>
      <c r="C124" s="4">
        <v>1</v>
      </c>
      <c r="D124" s="4">
        <v>508000</v>
      </c>
      <c r="E124" s="71" t="s">
        <v>31</v>
      </c>
      <c r="F124" s="71">
        <v>2</v>
      </c>
      <c r="G124" s="71">
        <v>350000</v>
      </c>
    </row>
    <row r="125" spans="2:21">
      <c r="B125" s="4" t="s">
        <v>29</v>
      </c>
      <c r="C125" s="4">
        <v>22</v>
      </c>
      <c r="D125" s="4">
        <v>499000</v>
      </c>
      <c r="E125" s="71" t="s">
        <v>31</v>
      </c>
      <c r="F125" s="71">
        <v>6</v>
      </c>
      <c r="G125" s="71">
        <v>349000</v>
      </c>
    </row>
    <row r="126" spans="2:21">
      <c r="B126" s="4" t="s">
        <v>29</v>
      </c>
      <c r="C126" s="4">
        <v>19</v>
      </c>
      <c r="D126" s="4">
        <v>489000</v>
      </c>
      <c r="E126" s="71" t="s">
        <v>31</v>
      </c>
      <c r="F126" s="71">
        <v>1</v>
      </c>
      <c r="G126" s="71">
        <v>310000</v>
      </c>
    </row>
    <row r="127" spans="2:21">
      <c r="B127" s="4" t="s">
        <v>29</v>
      </c>
      <c r="C127" s="4">
        <v>6</v>
      </c>
      <c r="D127" s="4">
        <v>488000</v>
      </c>
      <c r="E127" s="71" t="s">
        <v>31</v>
      </c>
      <c r="F127" s="71">
        <v>1</v>
      </c>
      <c r="G127" s="71">
        <v>290000</v>
      </c>
    </row>
    <row r="128" spans="2:21">
      <c r="B128" s="4" t="s">
        <v>29</v>
      </c>
      <c r="C128" s="4">
        <v>1</v>
      </c>
      <c r="D128" s="4">
        <v>485000</v>
      </c>
      <c r="E128" s="71" t="s">
        <v>31</v>
      </c>
      <c r="F128" s="71">
        <v>2</v>
      </c>
      <c r="G128" s="71">
        <v>281700</v>
      </c>
    </row>
    <row r="129" spans="2:7">
      <c r="B129" s="4" t="s">
        <v>29</v>
      </c>
      <c r="C129" s="4">
        <v>2</v>
      </c>
      <c r="D129" s="4">
        <v>475000</v>
      </c>
      <c r="E129" s="71" t="s">
        <v>31</v>
      </c>
      <c r="F129" s="71">
        <v>1</v>
      </c>
      <c r="G129" s="71">
        <v>224750</v>
      </c>
    </row>
    <row r="130" spans="2:7">
      <c r="B130" s="4" t="s">
        <v>29</v>
      </c>
      <c r="C130" s="4">
        <v>21</v>
      </c>
      <c r="D130" s="4">
        <v>469000</v>
      </c>
      <c r="E130" s="71" t="s">
        <v>31</v>
      </c>
      <c r="F130" s="71">
        <v>4</v>
      </c>
      <c r="G130" s="71">
        <v>150000</v>
      </c>
    </row>
    <row r="131" spans="2:7">
      <c r="B131" s="4" t="s">
        <v>29</v>
      </c>
      <c r="C131" s="4">
        <v>2</v>
      </c>
      <c r="D131" s="4">
        <v>450000</v>
      </c>
      <c r="E131" s="71" t="s">
        <v>31</v>
      </c>
      <c r="F131" s="71">
        <v>1</v>
      </c>
      <c r="G131" s="71">
        <v>100000</v>
      </c>
    </row>
    <row r="132" spans="2:7">
      <c r="B132" s="4" t="s">
        <v>29</v>
      </c>
      <c r="C132" s="4">
        <v>1</v>
      </c>
      <c r="D132" s="4">
        <v>449000</v>
      </c>
      <c r="E132" s="71" t="s">
        <v>31</v>
      </c>
      <c r="F132" s="71">
        <v>1</v>
      </c>
      <c r="G132" s="71">
        <v>30000</v>
      </c>
    </row>
    <row r="133" spans="2:7">
      <c r="B133" s="4" t="s">
        <v>29</v>
      </c>
      <c r="C133" s="4">
        <v>9</v>
      </c>
      <c r="D133" s="90">
        <v>445000</v>
      </c>
      <c r="E133" s="98"/>
      <c r="F133" s="98"/>
      <c r="G133" s="98"/>
    </row>
    <row r="134" spans="2:7">
      <c r="B134" s="4" t="s">
        <v>29</v>
      </c>
      <c r="C134" s="4">
        <v>4</v>
      </c>
      <c r="D134" s="4">
        <v>440000</v>
      </c>
    </row>
    <row r="135" spans="2:7">
      <c r="B135" s="4" t="s">
        <v>29</v>
      </c>
      <c r="C135" s="4">
        <v>27</v>
      </c>
      <c r="D135" s="4">
        <v>439000</v>
      </c>
    </row>
    <row r="136" spans="2:7">
      <c r="B136" s="4" t="s">
        <v>29</v>
      </c>
      <c r="C136" s="4">
        <v>4</v>
      </c>
      <c r="D136" s="4">
        <v>438000</v>
      </c>
    </row>
    <row r="137" spans="2:7">
      <c r="B137" s="4" t="s">
        <v>29</v>
      </c>
      <c r="C137" s="4">
        <v>3</v>
      </c>
      <c r="D137" s="4">
        <v>430000</v>
      </c>
    </row>
    <row r="138" spans="2:7">
      <c r="B138" s="4" t="s">
        <v>29</v>
      </c>
      <c r="C138" s="4">
        <v>1</v>
      </c>
      <c r="D138" s="4">
        <v>429000</v>
      </c>
    </row>
    <row r="139" spans="2:7">
      <c r="B139" s="4" t="s">
        <v>29</v>
      </c>
      <c r="C139" s="4">
        <v>1</v>
      </c>
      <c r="D139" s="4">
        <v>420000</v>
      </c>
    </row>
    <row r="140" spans="2:7">
      <c r="B140" s="4" t="s">
        <v>29</v>
      </c>
      <c r="C140" s="4">
        <v>12</v>
      </c>
      <c r="D140" s="4">
        <v>419000</v>
      </c>
    </row>
    <row r="141" spans="2:7">
      <c r="B141" s="4" t="s">
        <v>29</v>
      </c>
      <c r="C141" s="4">
        <v>1</v>
      </c>
      <c r="D141" s="4">
        <v>412000</v>
      </c>
    </row>
    <row r="142" spans="2:7">
      <c r="B142" s="4" t="s">
        <v>29</v>
      </c>
      <c r="C142" s="4">
        <v>1</v>
      </c>
      <c r="D142" s="4">
        <v>410000</v>
      </c>
    </row>
    <row r="143" spans="2:7">
      <c r="B143" s="4" t="s">
        <v>29</v>
      </c>
      <c r="C143" s="4">
        <v>2</v>
      </c>
      <c r="D143" s="4">
        <v>400000</v>
      </c>
    </row>
    <row r="144" spans="2:7">
      <c r="B144" s="4" t="s">
        <v>29</v>
      </c>
      <c r="C144" s="4">
        <v>37</v>
      </c>
      <c r="D144" s="4">
        <v>399000</v>
      </c>
    </row>
    <row r="145" spans="2:12">
      <c r="B145" s="4" t="s">
        <v>29</v>
      </c>
      <c r="C145" s="4">
        <v>19</v>
      </c>
      <c r="D145" s="4">
        <v>389000</v>
      </c>
    </row>
    <row r="146" spans="2:12">
      <c r="B146" s="4" t="s">
        <v>29</v>
      </c>
      <c r="C146" s="4">
        <v>21</v>
      </c>
      <c r="D146" s="4">
        <v>388000</v>
      </c>
    </row>
    <row r="147" spans="2:12">
      <c r="B147" s="4" t="s">
        <v>29</v>
      </c>
      <c r="C147" s="4">
        <v>16</v>
      </c>
      <c r="D147" s="4">
        <v>375000</v>
      </c>
    </row>
    <row r="148" spans="2:12">
      <c r="B148" s="4" t="s">
        <v>29</v>
      </c>
      <c r="C148" s="4">
        <v>12</v>
      </c>
      <c r="D148" s="4">
        <v>373000</v>
      </c>
    </row>
    <row r="149" spans="2:12">
      <c r="B149" s="4" t="s">
        <v>29</v>
      </c>
      <c r="C149" s="4">
        <v>7</v>
      </c>
      <c r="D149" s="4">
        <v>372000</v>
      </c>
    </row>
    <row r="150" spans="2:12">
      <c r="B150" s="4" t="s">
        <v>29</v>
      </c>
      <c r="C150" s="4">
        <v>16</v>
      </c>
      <c r="D150" s="4">
        <v>369000</v>
      </c>
    </row>
    <row r="151" spans="2:12">
      <c r="B151" s="4" t="s">
        <v>29</v>
      </c>
      <c r="C151" s="4">
        <v>6</v>
      </c>
      <c r="D151" s="4">
        <v>349000</v>
      </c>
    </row>
    <row r="152" spans="2:12">
      <c r="B152" s="4" t="s">
        <v>29</v>
      </c>
      <c r="C152" s="4">
        <v>1</v>
      </c>
      <c r="D152" s="4">
        <v>310000</v>
      </c>
    </row>
    <row r="153" spans="2:12">
      <c r="B153" s="4" t="s">
        <v>29</v>
      </c>
      <c r="C153" s="4">
        <v>5</v>
      </c>
      <c r="D153" s="4">
        <v>290000</v>
      </c>
    </row>
    <row r="154" spans="2:12">
      <c r="B154" s="4" t="s">
        <v>29</v>
      </c>
      <c r="C154" s="4">
        <v>1</v>
      </c>
      <c r="D154" s="4">
        <v>281700</v>
      </c>
    </row>
    <row r="155" spans="2:12">
      <c r="B155" s="4" t="s">
        <v>29</v>
      </c>
      <c r="C155" s="4">
        <v>1</v>
      </c>
      <c r="D155" s="4">
        <v>224750</v>
      </c>
      <c r="G155" s="13"/>
      <c r="H155" s="13"/>
      <c r="I155" s="13"/>
      <c r="J155" s="13"/>
      <c r="K155" s="13"/>
      <c r="L155" s="13"/>
    </row>
    <row r="156" spans="2:12">
      <c r="B156" s="4" t="s">
        <v>29</v>
      </c>
      <c r="C156" s="4">
        <v>1</v>
      </c>
      <c r="D156" s="4">
        <v>209700</v>
      </c>
      <c r="G156" s="14"/>
      <c r="H156" s="14"/>
      <c r="I156" s="14"/>
      <c r="J156" s="14"/>
      <c r="K156" s="14"/>
      <c r="L156" s="14"/>
    </row>
    <row r="157" spans="2:12">
      <c r="B157" s="4" t="s">
        <v>29</v>
      </c>
      <c r="C157" s="4">
        <v>2</v>
      </c>
      <c r="D157" s="4">
        <v>205000</v>
      </c>
      <c r="G157" s="14"/>
      <c r="H157" s="14"/>
      <c r="I157" s="14"/>
      <c r="J157" s="14"/>
      <c r="K157" s="14"/>
      <c r="L157" s="14"/>
    </row>
    <row r="158" spans="2:12">
      <c r="B158" s="4" t="s">
        <v>29</v>
      </c>
      <c r="C158" s="4">
        <v>2</v>
      </c>
      <c r="D158" s="4">
        <v>150000</v>
      </c>
    </row>
    <row r="159" spans="2:12">
      <c r="B159" s="4" t="s">
        <v>29</v>
      </c>
      <c r="C159" s="4">
        <v>1</v>
      </c>
      <c r="D159" s="4">
        <v>50000</v>
      </c>
    </row>
    <row r="160" spans="2:12">
      <c r="B160" s="4" t="s">
        <v>29</v>
      </c>
      <c r="C160" s="4">
        <v>8</v>
      </c>
      <c r="D160" s="4">
        <v>30000</v>
      </c>
    </row>
    <row r="161" spans="2:10">
      <c r="B161" s="56"/>
      <c r="C161" s="56"/>
      <c r="D161" s="56"/>
      <c r="E161" s="56"/>
      <c r="F161" s="142"/>
      <c r="G161" s="142"/>
      <c r="H161" s="25"/>
      <c r="I161" s="25"/>
      <c r="J161" s="25"/>
    </row>
  </sheetData>
  <mergeCells count="20">
    <mergeCell ref="S2:U2"/>
    <mergeCell ref="B2:D2"/>
    <mergeCell ref="E2:G2"/>
    <mergeCell ref="I2:K2"/>
    <mergeCell ref="L2:N2"/>
    <mergeCell ref="P2:R2"/>
    <mergeCell ref="W29:AB62"/>
    <mergeCell ref="W28:AB28"/>
    <mergeCell ref="F161:G161"/>
    <mergeCell ref="W3:X3"/>
    <mergeCell ref="W4:W5"/>
    <mergeCell ref="W6:W7"/>
    <mergeCell ref="W8:W9"/>
    <mergeCell ref="W10:W11"/>
    <mergeCell ref="W12:W13"/>
    <mergeCell ref="W16:W17"/>
    <mergeCell ref="W18:W19"/>
    <mergeCell ref="W20:W21"/>
    <mergeCell ref="W22:W23"/>
    <mergeCell ref="W24:W25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158"/>
  <sheetViews>
    <sheetView topLeftCell="A19" workbookViewId="0">
      <selection activeCell="B30" sqref="B30"/>
    </sheetView>
  </sheetViews>
  <sheetFormatPr defaultRowHeight="16.5"/>
  <cols>
    <col min="2" max="2" width="13.25" bestFit="1" customWidth="1"/>
    <col min="3" max="3" width="5.5" bestFit="1" customWidth="1"/>
    <col min="5" max="5" width="13.25" bestFit="1" customWidth="1"/>
    <col min="6" max="6" width="5.5" bestFit="1" customWidth="1"/>
    <col min="8" max="8" width="13.25" bestFit="1" customWidth="1"/>
    <col min="9" max="9" width="5.5" bestFit="1" customWidth="1"/>
    <col min="11" max="11" width="12.75" bestFit="1" customWidth="1"/>
    <col min="12" max="14" width="6.25" bestFit="1" customWidth="1"/>
  </cols>
  <sheetData>
    <row r="2" spans="2:14">
      <c r="B2" s="104" t="s">
        <v>24</v>
      </c>
      <c r="C2" s="104"/>
      <c r="E2" s="104" t="s">
        <v>12</v>
      </c>
      <c r="F2" s="104"/>
      <c r="H2" s="104" t="s">
        <v>13</v>
      </c>
      <c r="I2" s="104"/>
      <c r="J2" s="26" t="s">
        <v>108</v>
      </c>
    </row>
    <row r="3" spans="2:14">
      <c r="B3" s="2" t="s">
        <v>107</v>
      </c>
      <c r="C3" s="2" t="s">
        <v>15</v>
      </c>
      <c r="E3" s="2" t="s">
        <v>106</v>
      </c>
      <c r="F3" s="2" t="s">
        <v>15</v>
      </c>
      <c r="H3" s="2" t="s">
        <v>106</v>
      </c>
      <c r="I3" s="2" t="s">
        <v>15</v>
      </c>
    </row>
    <row r="4" spans="2:14">
      <c r="B4" s="4">
        <v>414</v>
      </c>
      <c r="C4" s="4">
        <v>3</v>
      </c>
      <c r="E4" s="4">
        <v>295</v>
      </c>
      <c r="F4" s="4">
        <v>4</v>
      </c>
      <c r="H4" s="4">
        <v>258</v>
      </c>
      <c r="I4" s="4">
        <v>2</v>
      </c>
      <c r="K4" s="148" t="s">
        <v>117</v>
      </c>
      <c r="L4" s="148"/>
      <c r="M4" s="148"/>
      <c r="N4" s="148"/>
    </row>
    <row r="5" spans="2:14">
      <c r="B5" s="4">
        <v>147</v>
      </c>
      <c r="C5" s="4">
        <v>8</v>
      </c>
      <c r="E5" s="4">
        <v>205</v>
      </c>
      <c r="F5" s="4">
        <v>3</v>
      </c>
      <c r="H5" s="4">
        <v>251</v>
      </c>
      <c r="I5" s="4">
        <v>14</v>
      </c>
      <c r="K5" s="9" t="s">
        <v>32</v>
      </c>
      <c r="L5" s="9">
        <v>2015</v>
      </c>
      <c r="M5" s="9">
        <v>2016</v>
      </c>
      <c r="N5" s="9">
        <v>2017</v>
      </c>
    </row>
    <row r="6" spans="2:14">
      <c r="B6" s="4">
        <v>143</v>
      </c>
      <c r="C6" s="4">
        <v>8</v>
      </c>
      <c r="E6" s="4">
        <v>193</v>
      </c>
      <c r="F6" s="4">
        <v>5</v>
      </c>
      <c r="H6" s="4">
        <v>246</v>
      </c>
      <c r="I6" s="4">
        <v>2</v>
      </c>
      <c r="K6" s="23" t="s">
        <v>109</v>
      </c>
      <c r="L6" s="28">
        <f>SUM(C101:C114)</f>
        <v>727</v>
      </c>
      <c r="M6" s="28">
        <f>SUM(F102:F115)</f>
        <v>703</v>
      </c>
      <c r="N6" s="28">
        <f>SUM(I146:I158)</f>
        <v>606</v>
      </c>
    </row>
    <row r="7" spans="2:14">
      <c r="B7" s="4">
        <v>142</v>
      </c>
      <c r="C7" s="4">
        <v>2</v>
      </c>
      <c r="E7" s="4">
        <v>187</v>
      </c>
      <c r="F7" s="4">
        <v>10</v>
      </c>
      <c r="H7" s="4">
        <v>245</v>
      </c>
      <c r="I7" s="4">
        <v>3</v>
      </c>
      <c r="K7" s="23" t="s">
        <v>110</v>
      </c>
      <c r="L7" s="28">
        <f>SUM(C86:C100)</f>
        <v>841</v>
      </c>
      <c r="M7" s="28">
        <f>SUM(F87:F101)</f>
        <v>1056</v>
      </c>
      <c r="N7" s="28">
        <f>SUM(I131:I145)</f>
        <v>1156</v>
      </c>
    </row>
    <row r="8" spans="2:14">
      <c r="B8" s="4">
        <v>129</v>
      </c>
      <c r="C8" s="4">
        <v>3</v>
      </c>
      <c r="E8" s="4">
        <v>152</v>
      </c>
      <c r="F8" s="4">
        <v>6</v>
      </c>
      <c r="H8" s="4">
        <v>236</v>
      </c>
      <c r="I8" s="4">
        <v>2</v>
      </c>
      <c r="K8" s="23" t="s">
        <v>111</v>
      </c>
      <c r="L8" s="28">
        <f>SUM(C66:C85)</f>
        <v>983</v>
      </c>
      <c r="M8" s="28">
        <f>SUM(F67:F86)</f>
        <v>956</v>
      </c>
      <c r="N8" s="28">
        <f>SUM(I111:I130)</f>
        <v>1394</v>
      </c>
    </row>
    <row r="9" spans="2:14">
      <c r="B9" s="4">
        <v>128</v>
      </c>
      <c r="C9" s="4">
        <v>12</v>
      </c>
      <c r="E9" s="4">
        <v>151</v>
      </c>
      <c r="F9" s="4">
        <v>6</v>
      </c>
      <c r="H9" s="4">
        <v>234</v>
      </c>
      <c r="I9" s="4">
        <v>4</v>
      </c>
      <c r="K9" s="23" t="s">
        <v>112</v>
      </c>
      <c r="L9" s="28">
        <f>SUM(C47:C65)</f>
        <v>494</v>
      </c>
      <c r="M9" s="28">
        <f>SUM(F47:F66)</f>
        <v>443</v>
      </c>
      <c r="N9" s="28">
        <f>SUM(I91:I110)</f>
        <v>965</v>
      </c>
    </row>
    <row r="10" spans="2:14">
      <c r="B10" s="4">
        <v>126</v>
      </c>
      <c r="C10" s="4">
        <v>2</v>
      </c>
      <c r="E10" s="4">
        <v>145</v>
      </c>
      <c r="F10" s="4">
        <v>4</v>
      </c>
      <c r="H10" s="4">
        <v>233</v>
      </c>
      <c r="I10" s="4">
        <v>6</v>
      </c>
      <c r="K10" s="23" t="s">
        <v>113</v>
      </c>
      <c r="L10" s="28">
        <f>SUM(C23:C46)</f>
        <v>316</v>
      </c>
      <c r="M10" s="28">
        <f>SUM(F23:F46)</f>
        <v>437</v>
      </c>
      <c r="N10" s="28">
        <f>SUM(I63:I90)</f>
        <v>726</v>
      </c>
    </row>
    <row r="11" spans="2:14">
      <c r="B11" s="4">
        <v>125</v>
      </c>
      <c r="C11" s="4">
        <v>10</v>
      </c>
      <c r="E11" s="4">
        <v>129</v>
      </c>
      <c r="F11" s="4">
        <v>2</v>
      </c>
      <c r="H11" s="4">
        <v>232</v>
      </c>
      <c r="I11" s="4">
        <v>4</v>
      </c>
      <c r="K11" s="23" t="s">
        <v>114</v>
      </c>
      <c r="L11" s="28">
        <f>SUM(C8:C22)</f>
        <v>105</v>
      </c>
      <c r="M11" s="28">
        <f>SUM(F11:F22)</f>
        <v>83</v>
      </c>
      <c r="N11" s="28">
        <f>SUM(I34:I62)</f>
        <v>357</v>
      </c>
    </row>
    <row r="12" spans="2:14">
      <c r="B12" s="4">
        <v>122</v>
      </c>
      <c r="C12" s="4">
        <v>2</v>
      </c>
      <c r="E12" s="4">
        <v>126</v>
      </c>
      <c r="F12" s="4">
        <v>4</v>
      </c>
      <c r="H12" s="4">
        <v>231</v>
      </c>
      <c r="I12" s="4">
        <v>4</v>
      </c>
      <c r="K12" s="27" t="s">
        <v>115</v>
      </c>
      <c r="L12" s="7">
        <f>SUM(C5:C7)</f>
        <v>18</v>
      </c>
      <c r="M12" s="7">
        <f>SUM(F8:F10)</f>
        <v>16</v>
      </c>
      <c r="N12" s="7">
        <f>SUM(I15:I33)</f>
        <v>139</v>
      </c>
    </row>
    <row r="13" spans="2:14">
      <c r="B13" s="4">
        <v>121</v>
      </c>
      <c r="C13" s="4">
        <v>6</v>
      </c>
      <c r="E13" s="4">
        <v>118</v>
      </c>
      <c r="F13" s="4">
        <v>1</v>
      </c>
      <c r="H13" s="4">
        <v>228</v>
      </c>
      <c r="I13" s="4">
        <v>2</v>
      </c>
      <c r="K13" s="27" t="s">
        <v>116</v>
      </c>
      <c r="L13" s="7">
        <f>SUM(C4)</f>
        <v>3</v>
      </c>
      <c r="M13" s="7">
        <f>SUM(F4:F7)</f>
        <v>22</v>
      </c>
      <c r="N13" s="7">
        <f>SUM(I4:I14)</f>
        <v>51</v>
      </c>
    </row>
    <row r="14" spans="2:14">
      <c r="B14" s="4">
        <v>120</v>
      </c>
      <c r="C14" s="4">
        <v>2</v>
      </c>
      <c r="E14" s="4">
        <v>117</v>
      </c>
      <c r="F14" s="4">
        <v>4</v>
      </c>
      <c r="H14" s="4">
        <v>200</v>
      </c>
      <c r="I14" s="4">
        <v>8</v>
      </c>
      <c r="K14" s="27" t="s">
        <v>23</v>
      </c>
      <c r="L14" s="7">
        <f>SUM(L6:L13)</f>
        <v>3487</v>
      </c>
      <c r="M14" s="7">
        <f>SUM(M6:M13)</f>
        <v>3716</v>
      </c>
      <c r="N14" s="7">
        <f>SUM(N6:N13)</f>
        <v>5394</v>
      </c>
    </row>
    <row r="15" spans="2:14">
      <c r="B15" s="4">
        <v>114</v>
      </c>
      <c r="C15" s="4">
        <v>2</v>
      </c>
      <c r="E15" s="4">
        <v>112</v>
      </c>
      <c r="F15" s="4">
        <v>6</v>
      </c>
      <c r="H15" s="4">
        <v>179</v>
      </c>
      <c r="I15" s="4">
        <v>2</v>
      </c>
    </row>
    <row r="16" spans="2:14">
      <c r="B16" s="4">
        <v>113</v>
      </c>
      <c r="C16" s="4">
        <v>6</v>
      </c>
      <c r="E16" s="4">
        <v>110</v>
      </c>
      <c r="F16" s="4">
        <v>11</v>
      </c>
      <c r="H16" s="4">
        <v>177</v>
      </c>
      <c r="I16" s="4">
        <v>2</v>
      </c>
      <c r="K16" s="148" t="s">
        <v>118</v>
      </c>
      <c r="L16" s="148"/>
      <c r="M16" s="148"/>
      <c r="N16" s="148"/>
    </row>
    <row r="17" spans="2:20">
      <c r="B17" s="4">
        <v>110</v>
      </c>
      <c r="C17" s="4">
        <v>6</v>
      </c>
      <c r="E17" s="4">
        <v>109</v>
      </c>
      <c r="F17" s="4">
        <v>17</v>
      </c>
      <c r="H17" s="4">
        <v>175</v>
      </c>
      <c r="I17" s="4">
        <v>2</v>
      </c>
      <c r="K17" s="9" t="s">
        <v>32</v>
      </c>
      <c r="L17" s="9">
        <v>2015</v>
      </c>
      <c r="M17" s="9">
        <v>2016</v>
      </c>
      <c r="N17" s="9">
        <v>2017</v>
      </c>
    </row>
    <row r="18" spans="2:20">
      <c r="B18" s="4">
        <v>108</v>
      </c>
      <c r="C18" s="4">
        <v>8</v>
      </c>
      <c r="E18" s="4">
        <v>106</v>
      </c>
      <c r="F18" s="4">
        <v>9</v>
      </c>
      <c r="H18" s="4">
        <v>170</v>
      </c>
      <c r="I18" s="4">
        <v>9</v>
      </c>
      <c r="K18" s="23" t="s">
        <v>109</v>
      </c>
      <c r="L18" s="29">
        <f>L6/L14</f>
        <v>0.20848867221106968</v>
      </c>
      <c r="M18" s="29">
        <f>M6/M14</f>
        <v>0.18918191603875134</v>
      </c>
      <c r="N18" s="29">
        <f>N6/N14</f>
        <v>0.11234705228031146</v>
      </c>
    </row>
    <row r="19" spans="2:20">
      <c r="B19" s="4">
        <v>106</v>
      </c>
      <c r="C19" s="4">
        <v>10</v>
      </c>
      <c r="E19" s="4">
        <v>104</v>
      </c>
      <c r="F19" s="4">
        <v>3</v>
      </c>
      <c r="H19" s="4">
        <v>168</v>
      </c>
      <c r="I19" s="4">
        <v>2</v>
      </c>
      <c r="K19" s="23" t="s">
        <v>110</v>
      </c>
      <c r="L19" s="29">
        <f>L7/L14</f>
        <v>0.2411815314023516</v>
      </c>
      <c r="M19" s="29">
        <f>M7/M14</f>
        <v>0.28417653390742736</v>
      </c>
      <c r="N19" s="29">
        <f>N7/N14</f>
        <v>0.21431219873934002</v>
      </c>
    </row>
    <row r="20" spans="2:20">
      <c r="B20" s="4">
        <v>105</v>
      </c>
      <c r="C20" s="4">
        <v>12</v>
      </c>
      <c r="E20" s="4">
        <v>103</v>
      </c>
      <c r="F20" s="4">
        <v>11</v>
      </c>
      <c r="H20" s="4">
        <v>166</v>
      </c>
      <c r="I20" s="4">
        <v>6</v>
      </c>
      <c r="K20" s="23" t="s">
        <v>111</v>
      </c>
      <c r="L20" s="29">
        <f>L8/L14</f>
        <v>0.28190421565815887</v>
      </c>
      <c r="M20" s="29">
        <f>M8/M14</f>
        <v>0.2572658772874058</v>
      </c>
      <c r="N20" s="29">
        <f>N8/N14</f>
        <v>0.25843529847979235</v>
      </c>
    </row>
    <row r="21" spans="2:20">
      <c r="B21" s="4">
        <v>103</v>
      </c>
      <c r="C21" s="4">
        <v>11</v>
      </c>
      <c r="E21" s="4">
        <v>101</v>
      </c>
      <c r="F21" s="4">
        <v>6</v>
      </c>
      <c r="H21" s="4">
        <v>163</v>
      </c>
      <c r="I21" s="4">
        <v>2</v>
      </c>
      <c r="K21" s="23" t="s">
        <v>112</v>
      </c>
      <c r="L21" s="29">
        <f>L9/L14</f>
        <v>0.14166905649555492</v>
      </c>
      <c r="M21" s="29">
        <f>M9/M14</f>
        <v>0.11921420882669537</v>
      </c>
      <c r="N21" s="29">
        <f>N9/N14</f>
        <v>0.17890248424175009</v>
      </c>
    </row>
    <row r="22" spans="2:20">
      <c r="B22" s="4">
        <v>100</v>
      </c>
      <c r="C22" s="4">
        <v>13</v>
      </c>
      <c r="E22" s="4">
        <v>100</v>
      </c>
      <c r="F22" s="4">
        <v>9</v>
      </c>
      <c r="H22" s="4">
        <v>156</v>
      </c>
      <c r="I22" s="4">
        <v>14</v>
      </c>
      <c r="K22" s="23" t="s">
        <v>113</v>
      </c>
      <c r="L22" s="29">
        <f>L10/L14</f>
        <v>9.0622311442500714E-2</v>
      </c>
      <c r="M22" s="29">
        <f>M10/M14</f>
        <v>0.11759956942949408</v>
      </c>
      <c r="N22" s="29">
        <f>N10/N14</f>
        <v>0.13459399332591768</v>
      </c>
    </row>
    <row r="23" spans="2:20">
      <c r="B23" s="4">
        <v>99</v>
      </c>
      <c r="C23" s="4">
        <v>4</v>
      </c>
      <c r="E23" s="4">
        <v>99</v>
      </c>
      <c r="F23" s="4">
        <v>15</v>
      </c>
      <c r="H23" s="4">
        <v>152</v>
      </c>
      <c r="I23" s="4">
        <v>3</v>
      </c>
      <c r="K23" s="23" t="s">
        <v>114</v>
      </c>
      <c r="L23" s="29">
        <f>L11/L14</f>
        <v>3.0111843991970175E-2</v>
      </c>
      <c r="M23" s="29">
        <f>M11/M14</f>
        <v>2.2335844994617868E-2</v>
      </c>
      <c r="N23" s="29">
        <f>N11/N14</f>
        <v>6.6184649610678534E-2</v>
      </c>
    </row>
    <row r="24" spans="2:20">
      <c r="B24" s="4">
        <v>98</v>
      </c>
      <c r="C24" s="4">
        <v>17</v>
      </c>
      <c r="E24" s="4">
        <v>97</v>
      </c>
      <c r="F24" s="4">
        <v>12</v>
      </c>
      <c r="H24" s="4">
        <v>151</v>
      </c>
      <c r="I24" s="4">
        <v>5</v>
      </c>
      <c r="K24" s="27" t="s">
        <v>115</v>
      </c>
      <c r="L24" s="6">
        <f>L12/L14</f>
        <v>5.1620303986234586E-3</v>
      </c>
      <c r="M24" s="6">
        <f>M12/M14</f>
        <v>4.3057050592034442E-3</v>
      </c>
      <c r="N24" s="6">
        <f>N12/N14</f>
        <v>2.5769373377827216E-2</v>
      </c>
    </row>
    <row r="25" spans="2:20">
      <c r="B25" s="4">
        <v>97</v>
      </c>
      <c r="C25" s="4">
        <v>19</v>
      </c>
      <c r="E25" s="4">
        <v>96</v>
      </c>
      <c r="F25" s="4">
        <v>20</v>
      </c>
      <c r="H25" s="4">
        <v>149</v>
      </c>
      <c r="I25" s="4">
        <v>3</v>
      </c>
      <c r="K25" s="27" t="s">
        <v>116</v>
      </c>
      <c r="L25" s="6">
        <f>L13/L14</f>
        <v>8.6033839977057644E-4</v>
      </c>
      <c r="M25" s="6">
        <f>M13/M14</f>
        <v>5.9203444564047362E-3</v>
      </c>
      <c r="N25" s="6">
        <f>N13/N14</f>
        <v>9.4549499443826474E-3</v>
      </c>
    </row>
    <row r="26" spans="2:20">
      <c r="B26" s="4">
        <v>96</v>
      </c>
      <c r="C26" s="4">
        <v>2</v>
      </c>
      <c r="E26" s="4">
        <v>94</v>
      </c>
      <c r="F26" s="4">
        <v>7</v>
      </c>
      <c r="H26" s="4">
        <v>148</v>
      </c>
      <c r="I26" s="4">
        <v>39</v>
      </c>
      <c r="K26" s="27" t="s">
        <v>23</v>
      </c>
      <c r="L26" s="6">
        <f>SUM(L18:L25)</f>
        <v>1</v>
      </c>
      <c r="M26" s="6">
        <f>SUM(M18:M25)</f>
        <v>1</v>
      </c>
      <c r="N26" s="6">
        <f>SUM(N18:N25)</f>
        <v>1</v>
      </c>
    </row>
    <row r="27" spans="2:20">
      <c r="B27" s="4">
        <v>95</v>
      </c>
      <c r="C27" s="4">
        <v>8</v>
      </c>
      <c r="E27" s="4">
        <v>92</v>
      </c>
      <c r="F27" s="4">
        <v>27</v>
      </c>
      <c r="H27" s="4">
        <v>147</v>
      </c>
      <c r="I27" s="4">
        <v>2</v>
      </c>
    </row>
    <row r="28" spans="2:20" ht="17.25">
      <c r="B28" s="4">
        <v>94</v>
      </c>
      <c r="C28" s="4">
        <v>14</v>
      </c>
      <c r="E28" s="4">
        <v>90</v>
      </c>
      <c r="F28" s="4">
        <v>30</v>
      </c>
      <c r="H28" s="4">
        <v>146</v>
      </c>
      <c r="I28" s="4">
        <v>7</v>
      </c>
      <c r="K28" s="135" t="s">
        <v>1098</v>
      </c>
      <c r="L28" s="135"/>
      <c r="M28" s="135"/>
      <c r="N28" s="135"/>
      <c r="O28" s="135"/>
      <c r="P28" s="135"/>
      <c r="Q28" s="135"/>
      <c r="R28" s="135"/>
      <c r="S28" s="135"/>
      <c r="T28" s="135"/>
    </row>
    <row r="29" spans="2:20" ht="16.5" customHeight="1">
      <c r="B29" s="4">
        <v>92</v>
      </c>
      <c r="C29" s="4">
        <v>33</v>
      </c>
      <c r="E29" s="4">
        <v>89</v>
      </c>
      <c r="F29" s="4">
        <v>24</v>
      </c>
      <c r="H29" s="4">
        <v>145</v>
      </c>
      <c r="I29" s="4">
        <v>6</v>
      </c>
      <c r="K29" s="147" t="s">
        <v>1100</v>
      </c>
      <c r="L29" s="147"/>
      <c r="M29" s="147"/>
      <c r="N29" s="147"/>
      <c r="O29" s="147"/>
      <c r="P29" s="147"/>
      <c r="Q29" s="147"/>
      <c r="R29" s="147"/>
      <c r="S29" s="147"/>
      <c r="T29" s="147"/>
    </row>
    <row r="30" spans="2:20">
      <c r="B30" s="4">
        <v>90</v>
      </c>
      <c r="C30" s="4">
        <v>4</v>
      </c>
      <c r="E30" s="4">
        <v>87</v>
      </c>
      <c r="F30" s="4">
        <v>22</v>
      </c>
      <c r="H30" s="4">
        <v>144</v>
      </c>
      <c r="I30" s="4">
        <v>6</v>
      </c>
      <c r="K30" s="147"/>
      <c r="L30" s="147"/>
      <c r="M30" s="147"/>
      <c r="N30" s="147"/>
      <c r="O30" s="147"/>
      <c r="P30" s="147"/>
      <c r="Q30" s="147"/>
      <c r="R30" s="147"/>
      <c r="S30" s="147"/>
      <c r="T30" s="147"/>
    </row>
    <row r="31" spans="2:20">
      <c r="B31" s="4">
        <v>89</v>
      </c>
      <c r="C31" s="4">
        <v>24</v>
      </c>
      <c r="E31" s="4">
        <v>86</v>
      </c>
      <c r="F31" s="4">
        <v>18</v>
      </c>
      <c r="H31" s="4">
        <v>142</v>
      </c>
      <c r="I31" s="4">
        <v>4</v>
      </c>
      <c r="K31" s="147"/>
      <c r="L31" s="147"/>
      <c r="M31" s="147"/>
      <c r="N31" s="147"/>
      <c r="O31" s="147"/>
      <c r="P31" s="147"/>
      <c r="Q31" s="147"/>
      <c r="R31" s="147"/>
      <c r="S31" s="147"/>
      <c r="T31" s="147"/>
    </row>
    <row r="32" spans="2:20">
      <c r="B32" s="4">
        <v>88</v>
      </c>
      <c r="C32" s="4">
        <v>9</v>
      </c>
      <c r="E32" s="4">
        <v>84</v>
      </c>
      <c r="F32" s="4">
        <v>14</v>
      </c>
      <c r="H32" s="4">
        <v>141</v>
      </c>
      <c r="I32" s="4">
        <v>11</v>
      </c>
      <c r="K32" s="147"/>
      <c r="L32" s="147"/>
      <c r="M32" s="147"/>
      <c r="N32" s="147"/>
      <c r="O32" s="147"/>
      <c r="P32" s="147"/>
      <c r="Q32" s="147"/>
      <c r="R32" s="147"/>
      <c r="S32" s="147"/>
      <c r="T32" s="147"/>
    </row>
    <row r="33" spans="2:20">
      <c r="B33" s="4">
        <v>86</v>
      </c>
      <c r="C33" s="4">
        <v>6</v>
      </c>
      <c r="E33" s="4">
        <v>83</v>
      </c>
      <c r="F33" s="4">
        <v>20</v>
      </c>
      <c r="H33" s="4">
        <v>140</v>
      </c>
      <c r="I33" s="4">
        <v>14</v>
      </c>
      <c r="K33" s="147"/>
      <c r="L33" s="147"/>
      <c r="M33" s="147"/>
      <c r="N33" s="147"/>
      <c r="O33" s="147"/>
      <c r="P33" s="147"/>
      <c r="Q33" s="147"/>
      <c r="R33" s="147"/>
      <c r="S33" s="147"/>
      <c r="T33" s="147"/>
    </row>
    <row r="34" spans="2:20">
      <c r="B34" s="4">
        <v>84</v>
      </c>
      <c r="C34" s="4">
        <v>6</v>
      </c>
      <c r="E34" s="4">
        <v>82</v>
      </c>
      <c r="F34" s="4">
        <v>27</v>
      </c>
      <c r="H34" s="4">
        <v>139</v>
      </c>
      <c r="I34" s="4">
        <v>4</v>
      </c>
      <c r="K34" s="147"/>
      <c r="L34" s="147"/>
      <c r="M34" s="147"/>
      <c r="N34" s="147"/>
      <c r="O34" s="147"/>
      <c r="P34" s="147"/>
      <c r="Q34" s="147"/>
      <c r="R34" s="147"/>
      <c r="S34" s="147"/>
      <c r="T34" s="147"/>
    </row>
    <row r="35" spans="2:20">
      <c r="B35" s="4">
        <v>83</v>
      </c>
      <c r="C35" s="4">
        <v>11</v>
      </c>
      <c r="E35" s="4">
        <v>81</v>
      </c>
      <c r="F35" s="4">
        <v>17</v>
      </c>
      <c r="H35" s="4">
        <v>137</v>
      </c>
      <c r="I35" s="4">
        <v>2</v>
      </c>
      <c r="K35" s="147"/>
      <c r="L35" s="147"/>
      <c r="M35" s="147"/>
      <c r="N35" s="147"/>
      <c r="O35" s="147"/>
      <c r="P35" s="147"/>
      <c r="Q35" s="147"/>
      <c r="R35" s="147"/>
      <c r="S35" s="147"/>
      <c r="T35" s="147"/>
    </row>
    <row r="36" spans="2:20">
      <c r="B36" s="4">
        <v>82</v>
      </c>
      <c r="C36" s="4">
        <v>10</v>
      </c>
      <c r="E36" s="4">
        <v>80</v>
      </c>
      <c r="F36" s="4">
        <v>6</v>
      </c>
      <c r="H36" s="4">
        <v>136</v>
      </c>
      <c r="I36" s="4">
        <v>10</v>
      </c>
      <c r="K36" s="147"/>
      <c r="L36" s="147"/>
      <c r="M36" s="147"/>
      <c r="N36" s="147"/>
      <c r="O36" s="147"/>
      <c r="P36" s="147"/>
      <c r="Q36" s="147"/>
      <c r="R36" s="147"/>
      <c r="S36" s="147"/>
      <c r="T36" s="147"/>
    </row>
    <row r="37" spans="2:20">
      <c r="B37" s="4">
        <v>80</v>
      </c>
      <c r="C37" s="4">
        <v>11</v>
      </c>
      <c r="E37" s="4">
        <v>79</v>
      </c>
      <c r="F37" s="4">
        <v>2</v>
      </c>
      <c r="H37" s="4">
        <v>135</v>
      </c>
      <c r="I37" s="4">
        <v>11</v>
      </c>
      <c r="K37" s="147"/>
      <c r="L37" s="147"/>
      <c r="M37" s="147"/>
      <c r="N37" s="147"/>
      <c r="O37" s="147"/>
      <c r="P37" s="147"/>
      <c r="Q37" s="147"/>
      <c r="R37" s="147"/>
      <c r="S37" s="147"/>
      <c r="T37" s="147"/>
    </row>
    <row r="38" spans="2:20">
      <c r="B38" s="4">
        <v>79</v>
      </c>
      <c r="C38" s="4">
        <v>8</v>
      </c>
      <c r="E38" s="4">
        <v>78</v>
      </c>
      <c r="F38" s="4">
        <v>9</v>
      </c>
      <c r="H38" s="4">
        <v>134</v>
      </c>
      <c r="I38" s="4">
        <v>6</v>
      </c>
      <c r="K38" s="147"/>
      <c r="L38" s="147"/>
      <c r="M38" s="147"/>
      <c r="N38" s="147"/>
      <c r="O38" s="147"/>
      <c r="P38" s="147"/>
      <c r="Q38" s="147"/>
      <c r="R38" s="147"/>
      <c r="S38" s="147"/>
      <c r="T38" s="147"/>
    </row>
    <row r="39" spans="2:20">
      <c r="B39" s="4">
        <v>78</v>
      </c>
      <c r="C39" s="4">
        <v>4</v>
      </c>
      <c r="E39" s="4">
        <v>77</v>
      </c>
      <c r="F39" s="4">
        <v>3</v>
      </c>
      <c r="H39" s="4">
        <v>130</v>
      </c>
      <c r="I39" s="4">
        <v>6</v>
      </c>
      <c r="K39" s="147"/>
      <c r="L39" s="147"/>
      <c r="M39" s="147"/>
      <c r="N39" s="147"/>
      <c r="O39" s="147"/>
      <c r="P39" s="147"/>
      <c r="Q39" s="147"/>
      <c r="R39" s="147"/>
      <c r="S39" s="147"/>
      <c r="T39" s="147"/>
    </row>
    <row r="40" spans="2:20">
      <c r="B40" s="4">
        <v>77</v>
      </c>
      <c r="C40" s="4">
        <v>17</v>
      </c>
      <c r="E40" s="4">
        <v>76</v>
      </c>
      <c r="F40" s="4">
        <v>36</v>
      </c>
      <c r="H40" s="4">
        <v>129</v>
      </c>
      <c r="I40" s="4">
        <v>23</v>
      </c>
      <c r="K40" s="147"/>
      <c r="L40" s="147"/>
      <c r="M40" s="147"/>
      <c r="N40" s="147"/>
      <c r="O40" s="147"/>
      <c r="P40" s="147"/>
      <c r="Q40" s="147"/>
      <c r="R40" s="147"/>
      <c r="S40" s="147"/>
      <c r="T40" s="147"/>
    </row>
    <row r="41" spans="2:20">
      <c r="B41" s="4">
        <v>76</v>
      </c>
      <c r="C41" s="4">
        <v>21</v>
      </c>
      <c r="E41" s="4">
        <v>75</v>
      </c>
      <c r="F41" s="4">
        <v>42</v>
      </c>
      <c r="H41" s="4">
        <v>127</v>
      </c>
      <c r="I41" s="4">
        <v>12</v>
      </c>
      <c r="K41" s="147"/>
      <c r="L41" s="147"/>
      <c r="M41" s="147"/>
      <c r="N41" s="147"/>
      <c r="O41" s="147"/>
      <c r="P41" s="147"/>
      <c r="Q41" s="147"/>
      <c r="R41" s="147"/>
      <c r="S41" s="147"/>
      <c r="T41" s="147"/>
    </row>
    <row r="42" spans="2:20">
      <c r="B42" s="4">
        <v>75</v>
      </c>
      <c r="C42" s="4">
        <v>10</v>
      </c>
      <c r="E42" s="4">
        <v>74</v>
      </c>
      <c r="F42" s="4">
        <v>8</v>
      </c>
      <c r="H42" s="4">
        <v>125</v>
      </c>
      <c r="I42" s="4">
        <v>9</v>
      </c>
      <c r="K42" s="147"/>
      <c r="L42" s="147"/>
      <c r="M42" s="147"/>
      <c r="N42" s="147"/>
      <c r="O42" s="147"/>
      <c r="P42" s="147"/>
      <c r="Q42" s="147"/>
      <c r="R42" s="147"/>
      <c r="S42" s="147"/>
      <c r="T42" s="147"/>
    </row>
    <row r="43" spans="2:20">
      <c r="B43" s="4">
        <v>73</v>
      </c>
      <c r="C43" s="4">
        <v>8</v>
      </c>
      <c r="E43" s="4">
        <v>73</v>
      </c>
      <c r="F43" s="4">
        <v>16</v>
      </c>
      <c r="H43" s="4">
        <v>124</v>
      </c>
      <c r="I43" s="4">
        <v>9</v>
      </c>
      <c r="K43" s="147"/>
      <c r="L43" s="147"/>
      <c r="M43" s="147"/>
      <c r="N43" s="147"/>
      <c r="O43" s="147"/>
      <c r="P43" s="147"/>
      <c r="Q43" s="147"/>
      <c r="R43" s="147"/>
      <c r="S43" s="147"/>
      <c r="T43" s="147"/>
    </row>
    <row r="44" spans="2:20">
      <c r="B44" s="4">
        <v>72</v>
      </c>
      <c r="C44" s="4">
        <v>24</v>
      </c>
      <c r="E44" s="4">
        <v>72</v>
      </c>
      <c r="F44" s="4">
        <v>20</v>
      </c>
      <c r="H44" s="4">
        <v>120</v>
      </c>
      <c r="I44" s="4">
        <v>23</v>
      </c>
      <c r="K44" s="147"/>
      <c r="L44" s="147"/>
      <c r="M44" s="147"/>
      <c r="N44" s="147"/>
      <c r="O44" s="147"/>
      <c r="P44" s="147"/>
      <c r="Q44" s="147"/>
      <c r="R44" s="147"/>
      <c r="S44" s="147"/>
      <c r="T44" s="147"/>
    </row>
    <row r="45" spans="2:20">
      <c r="B45" s="4">
        <v>71</v>
      </c>
      <c r="C45" s="4">
        <v>17</v>
      </c>
      <c r="E45" s="4">
        <v>71</v>
      </c>
      <c r="F45" s="4">
        <v>28</v>
      </c>
      <c r="H45" s="4">
        <v>119</v>
      </c>
      <c r="I45" s="4">
        <v>22</v>
      </c>
      <c r="K45" s="147"/>
      <c r="L45" s="147"/>
      <c r="M45" s="147"/>
      <c r="N45" s="147"/>
      <c r="O45" s="147"/>
      <c r="P45" s="147"/>
      <c r="Q45" s="147"/>
      <c r="R45" s="147"/>
      <c r="S45" s="147"/>
      <c r="T45" s="147"/>
    </row>
    <row r="46" spans="2:20">
      <c r="B46" s="4">
        <v>70</v>
      </c>
      <c r="C46" s="4">
        <v>29</v>
      </c>
      <c r="E46" s="4">
        <v>70</v>
      </c>
      <c r="F46" s="4">
        <v>14</v>
      </c>
      <c r="H46" s="4">
        <v>117</v>
      </c>
      <c r="I46" s="4">
        <v>10</v>
      </c>
      <c r="K46" s="147"/>
      <c r="L46" s="147"/>
      <c r="M46" s="147"/>
      <c r="N46" s="147"/>
      <c r="O46" s="147"/>
      <c r="P46" s="147"/>
      <c r="Q46" s="147"/>
      <c r="R46" s="147"/>
      <c r="S46" s="147"/>
      <c r="T46" s="147"/>
    </row>
    <row r="47" spans="2:20">
      <c r="B47" s="4">
        <v>68</v>
      </c>
      <c r="C47" s="4">
        <v>2</v>
      </c>
      <c r="E47" s="4">
        <v>69</v>
      </c>
      <c r="F47" s="4">
        <v>4</v>
      </c>
      <c r="H47" s="4">
        <v>116</v>
      </c>
      <c r="I47" s="4">
        <v>6</v>
      </c>
      <c r="K47" s="147"/>
      <c r="L47" s="147"/>
      <c r="M47" s="147"/>
      <c r="N47" s="147"/>
      <c r="O47" s="147"/>
      <c r="P47" s="147"/>
      <c r="Q47" s="147"/>
      <c r="R47" s="147"/>
      <c r="S47" s="147"/>
      <c r="T47" s="147"/>
    </row>
    <row r="48" spans="2:20">
      <c r="B48" s="4">
        <v>67</v>
      </c>
      <c r="C48" s="4">
        <v>35</v>
      </c>
      <c r="E48" s="4">
        <v>68</v>
      </c>
      <c r="F48" s="4">
        <v>13</v>
      </c>
      <c r="H48" s="4">
        <v>115</v>
      </c>
      <c r="I48" s="4">
        <v>40</v>
      </c>
      <c r="K48" s="147"/>
      <c r="L48" s="147"/>
      <c r="M48" s="147"/>
      <c r="N48" s="147"/>
      <c r="O48" s="147"/>
      <c r="P48" s="147"/>
      <c r="Q48" s="147"/>
      <c r="R48" s="147"/>
      <c r="S48" s="147"/>
      <c r="T48" s="147"/>
    </row>
    <row r="49" spans="2:20">
      <c r="B49" s="4">
        <v>66</v>
      </c>
      <c r="C49" s="4">
        <v>10</v>
      </c>
      <c r="E49" s="4">
        <v>67</v>
      </c>
      <c r="F49" s="4">
        <v>7</v>
      </c>
      <c r="H49" s="4">
        <v>114</v>
      </c>
      <c r="I49" s="4">
        <v>11</v>
      </c>
      <c r="K49" s="147"/>
      <c r="L49" s="147"/>
      <c r="M49" s="147"/>
      <c r="N49" s="147"/>
      <c r="O49" s="147"/>
      <c r="P49" s="147"/>
      <c r="Q49" s="147"/>
      <c r="R49" s="147"/>
      <c r="S49" s="147"/>
      <c r="T49" s="147"/>
    </row>
    <row r="50" spans="2:20">
      <c r="B50" s="4">
        <v>65</v>
      </c>
      <c r="C50" s="4">
        <v>20</v>
      </c>
      <c r="E50" s="4">
        <v>66</v>
      </c>
      <c r="F50" s="4">
        <v>21</v>
      </c>
      <c r="H50" s="4">
        <v>113</v>
      </c>
      <c r="I50" s="4">
        <v>13</v>
      </c>
      <c r="K50" s="147"/>
      <c r="L50" s="147"/>
      <c r="M50" s="147"/>
      <c r="N50" s="147"/>
      <c r="O50" s="147"/>
      <c r="P50" s="147"/>
      <c r="Q50" s="147"/>
      <c r="R50" s="147"/>
      <c r="S50" s="147"/>
      <c r="T50" s="147"/>
    </row>
    <row r="51" spans="2:20">
      <c r="B51" s="4">
        <v>64</v>
      </c>
      <c r="C51" s="4">
        <v>33</v>
      </c>
      <c r="E51" s="4">
        <v>65</v>
      </c>
      <c r="F51" s="4">
        <v>25</v>
      </c>
      <c r="H51" s="4">
        <v>112</v>
      </c>
      <c r="I51" s="4">
        <v>3</v>
      </c>
      <c r="K51" s="147"/>
      <c r="L51" s="147"/>
      <c r="M51" s="147"/>
      <c r="N51" s="147"/>
      <c r="O51" s="147"/>
      <c r="P51" s="147"/>
      <c r="Q51" s="147"/>
      <c r="R51" s="147"/>
      <c r="S51" s="147"/>
      <c r="T51" s="147"/>
    </row>
    <row r="52" spans="2:20">
      <c r="B52" s="4">
        <v>63</v>
      </c>
      <c r="C52" s="4">
        <v>31</v>
      </c>
      <c r="E52" s="4">
        <v>64</v>
      </c>
      <c r="F52" s="4">
        <v>14</v>
      </c>
      <c r="H52" s="4">
        <v>111</v>
      </c>
      <c r="I52" s="4">
        <v>7</v>
      </c>
      <c r="K52" s="86"/>
      <c r="L52" s="86"/>
      <c r="M52" s="86"/>
      <c r="N52" s="86"/>
      <c r="O52" s="86"/>
      <c r="P52" s="86"/>
      <c r="Q52" s="86"/>
      <c r="R52" s="86"/>
      <c r="S52" s="86"/>
      <c r="T52" s="86"/>
    </row>
    <row r="53" spans="2:20">
      <c r="B53" s="4">
        <v>62</v>
      </c>
      <c r="C53" s="4">
        <v>25</v>
      </c>
      <c r="E53" s="4">
        <v>63</v>
      </c>
      <c r="F53" s="4">
        <v>27</v>
      </c>
      <c r="H53" s="4">
        <v>110</v>
      </c>
      <c r="I53" s="4">
        <v>12</v>
      </c>
      <c r="K53" s="86"/>
      <c r="L53" s="86"/>
      <c r="M53" s="86"/>
      <c r="N53" s="86"/>
      <c r="O53" s="86"/>
      <c r="P53" s="86"/>
      <c r="Q53" s="86"/>
      <c r="R53" s="86"/>
      <c r="S53" s="86"/>
      <c r="T53" s="86"/>
    </row>
    <row r="54" spans="2:20">
      <c r="B54" s="4">
        <v>61</v>
      </c>
      <c r="C54" s="4">
        <v>10</v>
      </c>
      <c r="E54" s="4">
        <v>62</v>
      </c>
      <c r="F54" s="4">
        <v>8</v>
      </c>
      <c r="H54" s="4">
        <v>109</v>
      </c>
      <c r="I54" s="4">
        <v>4</v>
      </c>
      <c r="K54" s="86"/>
      <c r="L54" s="86"/>
      <c r="M54" s="86"/>
      <c r="N54" s="86"/>
      <c r="O54" s="86"/>
      <c r="P54" s="86"/>
      <c r="Q54" s="86"/>
      <c r="R54" s="86"/>
      <c r="S54" s="86"/>
      <c r="T54" s="86"/>
    </row>
    <row r="55" spans="2:20">
      <c r="B55" s="4">
        <v>60</v>
      </c>
      <c r="C55" s="4">
        <v>55</v>
      </c>
      <c r="E55" s="4">
        <v>61</v>
      </c>
      <c r="F55" s="4">
        <v>29</v>
      </c>
      <c r="H55" s="4">
        <v>108</v>
      </c>
      <c r="I55" s="4">
        <v>9</v>
      </c>
      <c r="K55" s="86"/>
      <c r="L55" s="86"/>
      <c r="M55" s="86"/>
      <c r="N55" s="86"/>
      <c r="O55" s="86"/>
      <c r="P55" s="86"/>
      <c r="Q55" s="86"/>
      <c r="R55" s="86"/>
      <c r="S55" s="86"/>
      <c r="T55" s="86"/>
    </row>
    <row r="56" spans="2:20">
      <c r="B56" s="4">
        <v>59</v>
      </c>
      <c r="C56" s="4">
        <v>5</v>
      </c>
      <c r="E56" s="4">
        <v>60</v>
      </c>
      <c r="F56" s="4">
        <v>22</v>
      </c>
      <c r="H56" s="4">
        <v>107</v>
      </c>
      <c r="I56" s="4">
        <v>24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</row>
    <row r="57" spans="2:20">
      <c r="B57" s="4">
        <v>58</v>
      </c>
      <c r="C57" s="4">
        <v>6</v>
      </c>
      <c r="E57" s="4">
        <v>59</v>
      </c>
      <c r="F57" s="4">
        <v>35</v>
      </c>
      <c r="H57" s="4">
        <v>106</v>
      </c>
      <c r="I57" s="4">
        <v>19</v>
      </c>
      <c r="K57" s="86"/>
      <c r="L57" s="86"/>
      <c r="M57" s="86"/>
      <c r="N57" s="86"/>
      <c r="O57" s="86"/>
      <c r="P57" s="86"/>
      <c r="Q57" s="86"/>
      <c r="R57" s="86"/>
      <c r="S57" s="86"/>
      <c r="T57" s="86"/>
    </row>
    <row r="58" spans="2:20">
      <c r="B58" s="4">
        <v>57</v>
      </c>
      <c r="C58" s="4">
        <v>28</v>
      </c>
      <c r="E58" s="4">
        <v>58</v>
      </c>
      <c r="F58" s="4">
        <v>22</v>
      </c>
      <c r="H58" s="4">
        <v>105</v>
      </c>
      <c r="I58" s="4">
        <v>9</v>
      </c>
      <c r="K58" s="86"/>
      <c r="L58" s="86"/>
      <c r="M58" s="86"/>
      <c r="N58" s="86"/>
      <c r="O58" s="86"/>
      <c r="P58" s="86"/>
      <c r="Q58" s="86"/>
      <c r="R58" s="86"/>
      <c r="S58" s="86"/>
      <c r="T58" s="86"/>
    </row>
    <row r="59" spans="2:20">
      <c r="B59" s="4">
        <v>56</v>
      </c>
      <c r="C59" s="4">
        <v>44</v>
      </c>
      <c r="E59" s="4">
        <v>57</v>
      </c>
      <c r="F59" s="4">
        <v>25</v>
      </c>
      <c r="H59" s="4">
        <v>104</v>
      </c>
      <c r="I59" s="4">
        <v>18</v>
      </c>
      <c r="K59" s="86"/>
      <c r="L59" s="86"/>
      <c r="M59" s="86"/>
      <c r="N59" s="86"/>
      <c r="O59" s="86"/>
      <c r="P59" s="86"/>
      <c r="Q59" s="86"/>
      <c r="R59" s="86"/>
      <c r="S59" s="86"/>
      <c r="T59" s="86"/>
    </row>
    <row r="60" spans="2:20">
      <c r="B60" s="4">
        <v>55</v>
      </c>
      <c r="C60" s="4">
        <v>39</v>
      </c>
      <c r="E60" s="4">
        <v>56</v>
      </c>
      <c r="F60" s="4">
        <v>19</v>
      </c>
      <c r="H60" s="4">
        <v>103</v>
      </c>
      <c r="I60" s="4">
        <v>13</v>
      </c>
      <c r="K60" s="86"/>
      <c r="L60" s="86"/>
      <c r="M60" s="86"/>
      <c r="N60" s="86"/>
      <c r="O60" s="86"/>
      <c r="P60" s="86"/>
      <c r="Q60" s="86"/>
      <c r="R60" s="86"/>
      <c r="S60" s="86"/>
      <c r="T60" s="86"/>
    </row>
    <row r="61" spans="2:20">
      <c r="B61" s="4">
        <v>54</v>
      </c>
      <c r="C61" s="4">
        <v>41</v>
      </c>
      <c r="E61" s="4">
        <v>55</v>
      </c>
      <c r="F61" s="4">
        <v>22</v>
      </c>
      <c r="H61" s="4">
        <v>101</v>
      </c>
      <c r="I61" s="4">
        <v>6</v>
      </c>
      <c r="K61" s="86"/>
      <c r="L61" s="86"/>
      <c r="M61" s="86"/>
      <c r="N61" s="86"/>
      <c r="O61" s="86"/>
      <c r="P61" s="86"/>
      <c r="Q61" s="86"/>
      <c r="R61" s="86"/>
      <c r="S61" s="86"/>
      <c r="T61" s="86"/>
    </row>
    <row r="62" spans="2:20">
      <c r="B62" s="4">
        <v>53</v>
      </c>
      <c r="C62" s="4">
        <v>4</v>
      </c>
      <c r="E62" s="4">
        <v>54</v>
      </c>
      <c r="F62" s="4">
        <v>15</v>
      </c>
      <c r="H62" s="4">
        <v>100</v>
      </c>
      <c r="I62" s="4">
        <v>16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</row>
    <row r="63" spans="2:20">
      <c r="B63" s="4">
        <v>52</v>
      </c>
      <c r="C63" s="4">
        <v>35</v>
      </c>
      <c r="E63" s="4">
        <v>53</v>
      </c>
      <c r="F63" s="4">
        <v>28</v>
      </c>
      <c r="H63" s="4">
        <v>99</v>
      </c>
      <c r="I63" s="4">
        <v>30</v>
      </c>
      <c r="K63" s="86"/>
      <c r="L63" s="86"/>
      <c r="M63" s="86"/>
      <c r="N63" s="86"/>
      <c r="O63" s="86"/>
      <c r="P63" s="86"/>
      <c r="Q63" s="86"/>
      <c r="R63" s="86"/>
      <c r="S63" s="86"/>
      <c r="T63" s="86"/>
    </row>
    <row r="64" spans="2:20">
      <c r="B64" s="4">
        <v>51</v>
      </c>
      <c r="C64" s="4">
        <v>19</v>
      </c>
      <c r="E64" s="4">
        <v>52</v>
      </c>
      <c r="F64" s="4">
        <v>49</v>
      </c>
      <c r="H64" s="4">
        <v>98</v>
      </c>
      <c r="I64" s="4">
        <v>21</v>
      </c>
      <c r="K64" s="86"/>
      <c r="L64" s="86"/>
      <c r="M64" s="86"/>
      <c r="N64" s="86"/>
      <c r="O64" s="86"/>
      <c r="P64" s="86"/>
      <c r="Q64" s="86"/>
      <c r="R64" s="86"/>
      <c r="S64" s="86"/>
      <c r="T64" s="86"/>
    </row>
    <row r="65" spans="2:20">
      <c r="B65" s="4">
        <v>50</v>
      </c>
      <c r="C65" s="4">
        <v>52</v>
      </c>
      <c r="E65" s="4">
        <v>51</v>
      </c>
      <c r="F65" s="4">
        <v>34</v>
      </c>
      <c r="H65" s="4">
        <v>97</v>
      </c>
      <c r="I65" s="4">
        <v>24</v>
      </c>
      <c r="K65" s="86"/>
      <c r="L65" s="86"/>
      <c r="M65" s="86"/>
      <c r="N65" s="86"/>
      <c r="O65" s="86"/>
      <c r="P65" s="86"/>
      <c r="Q65" s="86"/>
      <c r="R65" s="86"/>
      <c r="S65" s="86"/>
      <c r="T65" s="86"/>
    </row>
    <row r="66" spans="2:20">
      <c r="B66" s="4">
        <v>49</v>
      </c>
      <c r="C66" s="4">
        <v>55</v>
      </c>
      <c r="E66" s="4">
        <v>50</v>
      </c>
      <c r="F66" s="4">
        <v>24</v>
      </c>
      <c r="H66" s="4">
        <v>96</v>
      </c>
      <c r="I66" s="4">
        <v>28</v>
      </c>
      <c r="K66" s="86"/>
      <c r="L66" s="86"/>
      <c r="M66" s="86"/>
      <c r="N66" s="86"/>
      <c r="O66" s="86"/>
      <c r="P66" s="86"/>
      <c r="Q66" s="86"/>
      <c r="R66" s="86"/>
      <c r="S66" s="86"/>
      <c r="T66" s="86"/>
    </row>
    <row r="67" spans="2:20">
      <c r="B67" s="4">
        <v>48</v>
      </c>
      <c r="C67" s="4">
        <v>56</v>
      </c>
      <c r="E67" s="4">
        <v>49</v>
      </c>
      <c r="F67" s="4">
        <v>26</v>
      </c>
      <c r="H67" s="4">
        <v>95</v>
      </c>
      <c r="I67" s="4">
        <v>30</v>
      </c>
      <c r="K67" s="86"/>
      <c r="L67" s="86"/>
      <c r="M67" s="86"/>
      <c r="N67" s="86"/>
      <c r="O67" s="86"/>
      <c r="P67" s="86"/>
      <c r="Q67" s="86"/>
      <c r="R67" s="86"/>
      <c r="S67" s="86"/>
      <c r="T67" s="86"/>
    </row>
    <row r="68" spans="2:20">
      <c r="B68" s="4">
        <v>47</v>
      </c>
      <c r="C68" s="4">
        <v>22</v>
      </c>
      <c r="E68" s="4">
        <v>48</v>
      </c>
      <c r="F68" s="4">
        <v>15</v>
      </c>
      <c r="H68" s="4">
        <v>94</v>
      </c>
      <c r="I68" s="4">
        <v>30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</row>
    <row r="69" spans="2:20">
      <c r="B69" s="4">
        <v>46</v>
      </c>
      <c r="C69" s="4">
        <v>30</v>
      </c>
      <c r="E69" s="4">
        <v>47</v>
      </c>
      <c r="F69" s="4">
        <v>31</v>
      </c>
      <c r="H69" s="4">
        <v>93</v>
      </c>
      <c r="I69" s="4">
        <v>31</v>
      </c>
      <c r="K69" s="86"/>
      <c r="L69" s="86"/>
      <c r="M69" s="86"/>
      <c r="N69" s="86"/>
      <c r="O69" s="86"/>
      <c r="P69" s="86"/>
      <c r="Q69" s="86"/>
      <c r="R69" s="86"/>
      <c r="S69" s="86"/>
      <c r="T69" s="86"/>
    </row>
    <row r="70" spans="2:20">
      <c r="B70" s="4">
        <v>45</v>
      </c>
      <c r="C70" s="4">
        <v>23</v>
      </c>
      <c r="E70" s="4">
        <v>46</v>
      </c>
      <c r="F70" s="4">
        <v>76</v>
      </c>
      <c r="H70" s="4">
        <v>91</v>
      </c>
      <c r="I70" s="4">
        <v>5</v>
      </c>
      <c r="K70" s="86"/>
      <c r="L70" s="86"/>
      <c r="M70" s="86"/>
      <c r="N70" s="86"/>
      <c r="O70" s="86"/>
      <c r="P70" s="86"/>
      <c r="Q70" s="86"/>
      <c r="R70" s="86"/>
      <c r="S70" s="86"/>
      <c r="T70" s="86"/>
    </row>
    <row r="71" spans="2:20">
      <c r="B71" s="4">
        <v>44</v>
      </c>
      <c r="C71" s="4">
        <v>20</v>
      </c>
      <c r="E71" s="4">
        <v>45</v>
      </c>
      <c r="F71" s="4">
        <v>78</v>
      </c>
      <c r="H71" s="4">
        <v>90</v>
      </c>
      <c r="I71" s="4">
        <v>24</v>
      </c>
      <c r="K71" s="86"/>
      <c r="L71" s="86"/>
      <c r="M71" s="86"/>
      <c r="N71" s="86"/>
      <c r="O71" s="86"/>
      <c r="P71" s="86"/>
      <c r="Q71" s="86"/>
      <c r="R71" s="86"/>
      <c r="S71" s="86"/>
      <c r="T71" s="86"/>
    </row>
    <row r="72" spans="2:20">
      <c r="B72" s="4">
        <v>43</v>
      </c>
      <c r="C72" s="4">
        <v>63</v>
      </c>
      <c r="E72" s="4">
        <v>44</v>
      </c>
      <c r="F72" s="4">
        <v>50</v>
      </c>
      <c r="H72" s="4">
        <v>89</v>
      </c>
      <c r="I72" s="4">
        <v>13</v>
      </c>
      <c r="K72" s="86"/>
      <c r="L72" s="86"/>
      <c r="M72" s="86"/>
      <c r="N72" s="86"/>
      <c r="O72" s="86"/>
      <c r="P72" s="86"/>
      <c r="Q72" s="86"/>
      <c r="R72" s="86"/>
      <c r="S72" s="86"/>
      <c r="T72" s="86"/>
    </row>
    <row r="73" spans="2:20">
      <c r="B73" s="4">
        <v>42</v>
      </c>
      <c r="C73" s="4">
        <v>45</v>
      </c>
      <c r="E73" s="4">
        <v>43</v>
      </c>
      <c r="F73" s="4">
        <v>27</v>
      </c>
      <c r="H73" s="4">
        <v>88</v>
      </c>
      <c r="I73" s="4">
        <v>4</v>
      </c>
      <c r="K73" s="86"/>
      <c r="L73" s="86"/>
      <c r="M73" s="86"/>
      <c r="N73" s="86"/>
      <c r="O73" s="86"/>
      <c r="P73" s="86"/>
      <c r="Q73" s="86"/>
      <c r="R73" s="86"/>
      <c r="S73" s="86"/>
      <c r="T73" s="86"/>
    </row>
    <row r="74" spans="2:20">
      <c r="B74" s="4">
        <v>41</v>
      </c>
      <c r="C74" s="4">
        <v>27</v>
      </c>
      <c r="E74" s="4">
        <v>42</v>
      </c>
      <c r="F74" s="4">
        <v>49</v>
      </c>
      <c r="H74" s="4">
        <v>87</v>
      </c>
      <c r="I74" s="4">
        <v>21</v>
      </c>
      <c r="K74" s="86"/>
      <c r="L74" s="86"/>
      <c r="M74" s="86"/>
      <c r="N74" s="86"/>
      <c r="O74" s="86"/>
      <c r="P74" s="86"/>
      <c r="Q74" s="86"/>
      <c r="R74" s="86"/>
      <c r="S74" s="86"/>
      <c r="T74" s="86"/>
    </row>
    <row r="75" spans="2:20">
      <c r="B75" s="4">
        <v>40</v>
      </c>
      <c r="C75" s="4">
        <v>80</v>
      </c>
      <c r="E75" s="4">
        <v>41</v>
      </c>
      <c r="F75" s="4">
        <v>41</v>
      </c>
      <c r="H75" s="4">
        <v>86</v>
      </c>
      <c r="I75" s="4">
        <v>51</v>
      </c>
    </row>
    <row r="76" spans="2:20">
      <c r="B76" s="4">
        <v>39</v>
      </c>
      <c r="C76" s="4">
        <v>36</v>
      </c>
      <c r="E76" s="4">
        <v>40</v>
      </c>
      <c r="F76" s="4">
        <v>24</v>
      </c>
      <c r="H76" s="4">
        <v>85</v>
      </c>
      <c r="I76" s="4">
        <v>2</v>
      </c>
    </row>
    <row r="77" spans="2:20">
      <c r="B77" s="4">
        <v>38</v>
      </c>
      <c r="C77" s="4">
        <v>91</v>
      </c>
      <c r="E77" s="4">
        <v>39</v>
      </c>
      <c r="F77" s="4">
        <v>15</v>
      </c>
      <c r="H77" s="4">
        <v>84</v>
      </c>
      <c r="I77" s="4">
        <v>27</v>
      </c>
    </row>
    <row r="78" spans="2:20">
      <c r="B78" s="4">
        <v>37</v>
      </c>
      <c r="C78" s="4">
        <v>49</v>
      </c>
      <c r="E78" s="4">
        <v>38</v>
      </c>
      <c r="F78" s="4">
        <v>68</v>
      </c>
      <c r="H78" s="4">
        <v>83</v>
      </c>
      <c r="I78" s="4">
        <v>19</v>
      </c>
    </row>
    <row r="79" spans="2:20">
      <c r="B79" s="4">
        <v>36</v>
      </c>
      <c r="C79" s="4">
        <v>53</v>
      </c>
      <c r="E79" s="4">
        <v>37</v>
      </c>
      <c r="F79" s="4">
        <v>51</v>
      </c>
      <c r="H79" s="4">
        <v>82</v>
      </c>
      <c r="I79" s="4">
        <v>22</v>
      </c>
    </row>
    <row r="80" spans="2:20">
      <c r="B80" s="4">
        <v>35</v>
      </c>
      <c r="C80" s="4">
        <v>26</v>
      </c>
      <c r="E80" s="4">
        <v>36</v>
      </c>
      <c r="F80" s="4">
        <v>53</v>
      </c>
      <c r="H80" s="4">
        <v>81</v>
      </c>
      <c r="I80" s="4">
        <v>22</v>
      </c>
    </row>
    <row r="81" spans="2:9">
      <c r="B81" s="4">
        <v>34</v>
      </c>
      <c r="C81" s="4">
        <v>65</v>
      </c>
      <c r="E81" s="4">
        <v>35</v>
      </c>
      <c r="F81" s="4">
        <v>67</v>
      </c>
      <c r="H81" s="4">
        <v>80</v>
      </c>
      <c r="I81" s="4">
        <v>68</v>
      </c>
    </row>
    <row r="82" spans="2:9">
      <c r="B82" s="4">
        <v>33</v>
      </c>
      <c r="C82" s="4">
        <v>48</v>
      </c>
      <c r="E82" s="4">
        <v>34</v>
      </c>
      <c r="F82" s="4">
        <v>59</v>
      </c>
      <c r="H82" s="4">
        <v>79</v>
      </c>
      <c r="I82" s="4">
        <v>19</v>
      </c>
    </row>
    <row r="83" spans="2:9">
      <c r="B83" s="4">
        <v>32</v>
      </c>
      <c r="C83" s="4">
        <v>50</v>
      </c>
      <c r="E83" s="4">
        <v>33</v>
      </c>
      <c r="F83" s="4">
        <v>56</v>
      </c>
      <c r="H83" s="4">
        <v>78</v>
      </c>
      <c r="I83" s="4">
        <v>50</v>
      </c>
    </row>
    <row r="84" spans="2:9">
      <c r="B84" s="4">
        <v>31</v>
      </c>
      <c r="C84" s="4">
        <v>69</v>
      </c>
      <c r="E84" s="4">
        <v>32</v>
      </c>
      <c r="F84" s="4">
        <v>43</v>
      </c>
      <c r="H84" s="4">
        <v>77</v>
      </c>
      <c r="I84" s="4">
        <v>18</v>
      </c>
    </row>
    <row r="85" spans="2:9">
      <c r="B85" s="4">
        <v>30</v>
      </c>
      <c r="C85" s="4">
        <v>75</v>
      </c>
      <c r="E85" s="4">
        <v>31</v>
      </c>
      <c r="F85" s="4">
        <v>74</v>
      </c>
      <c r="H85" s="4">
        <v>76</v>
      </c>
      <c r="I85" s="4">
        <v>20</v>
      </c>
    </row>
    <row r="86" spans="2:9">
      <c r="B86" s="4">
        <v>29</v>
      </c>
      <c r="C86" s="4">
        <v>50</v>
      </c>
      <c r="E86" s="4">
        <v>30</v>
      </c>
      <c r="F86" s="4">
        <v>53</v>
      </c>
      <c r="H86" s="4">
        <v>75</v>
      </c>
      <c r="I86" s="4">
        <v>14</v>
      </c>
    </row>
    <row r="87" spans="2:9">
      <c r="B87" s="4">
        <v>28</v>
      </c>
      <c r="C87" s="4">
        <v>62</v>
      </c>
      <c r="E87" s="4">
        <v>29</v>
      </c>
      <c r="F87" s="4">
        <v>107</v>
      </c>
      <c r="H87" s="4">
        <v>73</v>
      </c>
      <c r="I87" s="4">
        <v>26</v>
      </c>
    </row>
    <row r="88" spans="2:9">
      <c r="B88" s="4">
        <v>27</v>
      </c>
      <c r="C88" s="4">
        <v>53</v>
      </c>
      <c r="E88" s="4">
        <v>28</v>
      </c>
      <c r="F88" s="4">
        <v>21</v>
      </c>
      <c r="H88" s="4">
        <v>72</v>
      </c>
      <c r="I88" s="4">
        <v>45</v>
      </c>
    </row>
    <row r="89" spans="2:9">
      <c r="B89" s="4">
        <v>26</v>
      </c>
      <c r="C89" s="4">
        <v>56</v>
      </c>
      <c r="E89" s="4">
        <v>27</v>
      </c>
      <c r="F89" s="4">
        <v>71</v>
      </c>
      <c r="H89" s="4">
        <v>71</v>
      </c>
      <c r="I89" s="4">
        <v>28</v>
      </c>
    </row>
    <row r="90" spans="2:9">
      <c r="B90" s="4">
        <v>25</v>
      </c>
      <c r="C90" s="4">
        <v>47</v>
      </c>
      <c r="E90" s="4">
        <v>26</v>
      </c>
      <c r="F90" s="4">
        <v>40</v>
      </c>
      <c r="H90" s="4">
        <v>70</v>
      </c>
      <c r="I90" s="4">
        <v>34</v>
      </c>
    </row>
    <row r="91" spans="2:9">
      <c r="B91" s="4">
        <v>24</v>
      </c>
      <c r="C91" s="4">
        <v>63</v>
      </c>
      <c r="E91" s="4">
        <v>25</v>
      </c>
      <c r="F91" s="4">
        <v>115</v>
      </c>
      <c r="H91" s="4">
        <v>69</v>
      </c>
      <c r="I91" s="4">
        <v>70</v>
      </c>
    </row>
    <row r="92" spans="2:9">
      <c r="B92" s="4">
        <v>23</v>
      </c>
      <c r="C92" s="4">
        <v>58</v>
      </c>
      <c r="E92" s="4">
        <v>24</v>
      </c>
      <c r="F92" s="4">
        <v>50</v>
      </c>
      <c r="H92" s="4">
        <v>68</v>
      </c>
      <c r="I92" s="4">
        <v>31</v>
      </c>
    </row>
    <row r="93" spans="2:9">
      <c r="B93" s="4">
        <v>22</v>
      </c>
      <c r="C93" s="4">
        <v>55</v>
      </c>
      <c r="E93" s="4">
        <v>23</v>
      </c>
      <c r="F93" s="4">
        <v>102</v>
      </c>
      <c r="H93" s="4">
        <v>67</v>
      </c>
      <c r="I93" s="4">
        <v>49</v>
      </c>
    </row>
    <row r="94" spans="2:9">
      <c r="B94" s="4">
        <v>21</v>
      </c>
      <c r="C94" s="4">
        <v>30</v>
      </c>
      <c r="E94" s="4">
        <v>22</v>
      </c>
      <c r="F94" s="4">
        <v>59</v>
      </c>
      <c r="H94" s="4">
        <v>66</v>
      </c>
      <c r="I94" s="4">
        <v>38</v>
      </c>
    </row>
    <row r="95" spans="2:9">
      <c r="B95" s="4">
        <v>20</v>
      </c>
      <c r="C95" s="4">
        <v>54</v>
      </c>
      <c r="E95" s="4">
        <v>21</v>
      </c>
      <c r="F95" s="4">
        <v>94</v>
      </c>
      <c r="H95" s="4">
        <v>65</v>
      </c>
      <c r="I95" s="4">
        <v>44</v>
      </c>
    </row>
    <row r="96" spans="2:9">
      <c r="B96" s="4">
        <v>19</v>
      </c>
      <c r="C96" s="4">
        <v>64</v>
      </c>
      <c r="E96" s="4">
        <v>20</v>
      </c>
      <c r="F96" s="4">
        <v>57</v>
      </c>
      <c r="H96" s="4">
        <v>64</v>
      </c>
      <c r="I96" s="4">
        <v>54</v>
      </c>
    </row>
    <row r="97" spans="2:9">
      <c r="B97" s="4">
        <v>18</v>
      </c>
      <c r="C97" s="4">
        <v>74</v>
      </c>
      <c r="E97" s="4">
        <v>19</v>
      </c>
      <c r="F97" s="4">
        <v>81</v>
      </c>
      <c r="H97" s="4">
        <v>63</v>
      </c>
      <c r="I97" s="4">
        <v>56</v>
      </c>
    </row>
    <row r="98" spans="2:9">
      <c r="B98" s="4">
        <v>17</v>
      </c>
      <c r="C98" s="4">
        <v>43</v>
      </c>
      <c r="E98" s="4">
        <v>18</v>
      </c>
      <c r="F98" s="4">
        <v>42</v>
      </c>
      <c r="H98" s="4">
        <v>62</v>
      </c>
      <c r="I98" s="4">
        <v>29</v>
      </c>
    </row>
    <row r="99" spans="2:9">
      <c r="B99" s="4">
        <v>16</v>
      </c>
      <c r="C99" s="4">
        <v>55</v>
      </c>
      <c r="E99" s="4">
        <v>17</v>
      </c>
      <c r="F99" s="4">
        <v>83</v>
      </c>
      <c r="H99" s="4">
        <v>61</v>
      </c>
      <c r="I99" s="4">
        <v>14</v>
      </c>
    </row>
    <row r="100" spans="2:9">
      <c r="B100" s="4">
        <v>15</v>
      </c>
      <c r="C100" s="4">
        <v>77</v>
      </c>
      <c r="E100" s="4">
        <v>16</v>
      </c>
      <c r="F100" s="4">
        <v>85</v>
      </c>
      <c r="H100" s="4">
        <v>60</v>
      </c>
      <c r="I100" s="4">
        <v>33</v>
      </c>
    </row>
    <row r="101" spans="2:9">
      <c r="B101" s="4">
        <v>14</v>
      </c>
      <c r="C101" s="4">
        <v>101</v>
      </c>
      <c r="E101" s="4">
        <v>15</v>
      </c>
      <c r="F101" s="4">
        <v>49</v>
      </c>
      <c r="H101" s="4">
        <v>59</v>
      </c>
      <c r="I101" s="4">
        <v>33</v>
      </c>
    </row>
    <row r="102" spans="2:9">
      <c r="B102" s="4">
        <v>13</v>
      </c>
      <c r="C102" s="4">
        <v>64</v>
      </c>
      <c r="E102" s="4">
        <v>14</v>
      </c>
      <c r="F102" s="4">
        <v>79</v>
      </c>
      <c r="H102" s="4">
        <v>58</v>
      </c>
      <c r="I102" s="4">
        <v>42</v>
      </c>
    </row>
    <row r="103" spans="2:9">
      <c r="B103" s="4">
        <v>12</v>
      </c>
      <c r="C103" s="4">
        <v>77</v>
      </c>
      <c r="E103" s="4">
        <v>13</v>
      </c>
      <c r="F103" s="4">
        <v>58</v>
      </c>
      <c r="H103" s="4">
        <v>57</v>
      </c>
      <c r="I103" s="4">
        <v>76</v>
      </c>
    </row>
    <row r="104" spans="2:9">
      <c r="B104" s="4">
        <v>11</v>
      </c>
      <c r="C104" s="4">
        <v>82</v>
      </c>
      <c r="E104" s="4">
        <v>12</v>
      </c>
      <c r="F104" s="4">
        <v>59</v>
      </c>
      <c r="H104" s="4">
        <v>56</v>
      </c>
      <c r="I104" s="4">
        <v>36</v>
      </c>
    </row>
    <row r="105" spans="2:9">
      <c r="B105" s="4">
        <v>10</v>
      </c>
      <c r="C105" s="4">
        <v>71</v>
      </c>
      <c r="E105" s="4">
        <v>11</v>
      </c>
      <c r="F105" s="4">
        <v>68</v>
      </c>
      <c r="H105" s="4">
        <v>55</v>
      </c>
      <c r="I105" s="4">
        <v>75</v>
      </c>
    </row>
    <row r="106" spans="2:9">
      <c r="B106" s="4">
        <v>9</v>
      </c>
      <c r="C106" s="4">
        <v>59</v>
      </c>
      <c r="E106" s="4">
        <v>10</v>
      </c>
      <c r="F106" s="4">
        <v>81</v>
      </c>
      <c r="H106" s="4">
        <v>54</v>
      </c>
      <c r="I106" s="4">
        <v>44</v>
      </c>
    </row>
    <row r="107" spans="2:9">
      <c r="B107" s="4">
        <v>8</v>
      </c>
      <c r="C107" s="4">
        <v>85</v>
      </c>
      <c r="E107" s="4">
        <v>9</v>
      </c>
      <c r="F107" s="4">
        <v>62</v>
      </c>
      <c r="H107" s="4">
        <v>53</v>
      </c>
      <c r="I107" s="4">
        <v>40</v>
      </c>
    </row>
    <row r="108" spans="2:9">
      <c r="B108" s="4">
        <v>7</v>
      </c>
      <c r="C108" s="4">
        <v>33</v>
      </c>
      <c r="E108" s="4">
        <v>8</v>
      </c>
      <c r="F108" s="4">
        <v>72</v>
      </c>
      <c r="H108" s="4">
        <v>52</v>
      </c>
      <c r="I108" s="4">
        <v>77</v>
      </c>
    </row>
    <row r="109" spans="2:9">
      <c r="B109" s="4">
        <v>6</v>
      </c>
      <c r="C109" s="4">
        <v>52</v>
      </c>
      <c r="E109" s="4">
        <v>7</v>
      </c>
      <c r="F109" s="4">
        <v>50</v>
      </c>
      <c r="H109" s="4">
        <v>51</v>
      </c>
      <c r="I109" s="4">
        <v>63</v>
      </c>
    </row>
    <row r="110" spans="2:9">
      <c r="B110" s="4">
        <v>5</v>
      </c>
      <c r="C110" s="4">
        <v>30</v>
      </c>
      <c r="E110" s="4">
        <v>6</v>
      </c>
      <c r="F110" s="4">
        <v>42</v>
      </c>
      <c r="H110" s="4">
        <v>50</v>
      </c>
      <c r="I110" s="4">
        <v>61</v>
      </c>
    </row>
    <row r="111" spans="2:9">
      <c r="B111" s="4">
        <v>4</v>
      </c>
      <c r="C111" s="4">
        <v>30</v>
      </c>
      <c r="E111" s="4">
        <v>5</v>
      </c>
      <c r="F111" s="4">
        <v>76</v>
      </c>
      <c r="H111" s="4">
        <v>49</v>
      </c>
      <c r="I111" s="4">
        <v>35</v>
      </c>
    </row>
    <row r="112" spans="2:9">
      <c r="B112" s="4">
        <v>3</v>
      </c>
      <c r="C112" s="4">
        <v>31</v>
      </c>
      <c r="E112" s="4">
        <v>4</v>
      </c>
      <c r="F112" s="4">
        <v>18</v>
      </c>
      <c r="H112" s="4">
        <v>48</v>
      </c>
      <c r="I112" s="4">
        <v>79</v>
      </c>
    </row>
    <row r="113" spans="2:9">
      <c r="B113" s="4">
        <v>2</v>
      </c>
      <c r="C113" s="4">
        <v>10</v>
      </c>
      <c r="E113" s="4">
        <v>3</v>
      </c>
      <c r="F113" s="4">
        <v>21</v>
      </c>
      <c r="H113" s="4">
        <v>47</v>
      </c>
      <c r="I113" s="4">
        <v>44</v>
      </c>
    </row>
    <row r="114" spans="2:9">
      <c r="B114" s="4">
        <v>1</v>
      </c>
      <c r="C114" s="4">
        <v>2</v>
      </c>
      <c r="E114" s="4">
        <v>2</v>
      </c>
      <c r="F114" s="4">
        <v>12</v>
      </c>
      <c r="H114" s="4">
        <v>46</v>
      </c>
      <c r="I114" s="4">
        <v>58</v>
      </c>
    </row>
    <row r="115" spans="2:9">
      <c r="E115" s="4">
        <v>1</v>
      </c>
      <c r="F115" s="4">
        <v>5</v>
      </c>
      <c r="H115" s="4">
        <v>45</v>
      </c>
      <c r="I115" s="4">
        <v>45</v>
      </c>
    </row>
    <row r="116" spans="2:9">
      <c r="H116" s="4">
        <v>44</v>
      </c>
      <c r="I116" s="4">
        <v>86</v>
      </c>
    </row>
    <row r="117" spans="2:9">
      <c r="H117" s="4">
        <v>43</v>
      </c>
      <c r="I117" s="4">
        <v>95</v>
      </c>
    </row>
    <row r="118" spans="2:9">
      <c r="H118" s="4">
        <v>42</v>
      </c>
      <c r="I118" s="4">
        <v>50</v>
      </c>
    </row>
    <row r="119" spans="2:9">
      <c r="H119" s="4">
        <v>41</v>
      </c>
      <c r="I119" s="4">
        <v>62</v>
      </c>
    </row>
    <row r="120" spans="2:9">
      <c r="H120" s="4">
        <v>40</v>
      </c>
      <c r="I120" s="4">
        <v>70</v>
      </c>
    </row>
    <row r="121" spans="2:9">
      <c r="H121" s="4">
        <v>39</v>
      </c>
      <c r="I121" s="4">
        <v>30</v>
      </c>
    </row>
    <row r="122" spans="2:9">
      <c r="H122" s="4">
        <v>38</v>
      </c>
      <c r="I122" s="4">
        <v>89</v>
      </c>
    </row>
    <row r="123" spans="2:9">
      <c r="H123" s="4">
        <v>37</v>
      </c>
      <c r="I123" s="4">
        <v>80</v>
      </c>
    </row>
    <row r="124" spans="2:9">
      <c r="H124" s="4">
        <v>36</v>
      </c>
      <c r="I124" s="4">
        <v>67</v>
      </c>
    </row>
    <row r="125" spans="2:9">
      <c r="H125" s="4">
        <v>35</v>
      </c>
      <c r="I125" s="4">
        <v>61</v>
      </c>
    </row>
    <row r="126" spans="2:9">
      <c r="H126" s="4">
        <v>34</v>
      </c>
      <c r="I126" s="4">
        <v>43</v>
      </c>
    </row>
    <row r="127" spans="2:9">
      <c r="H127" s="4">
        <v>33</v>
      </c>
      <c r="I127" s="4">
        <v>147</v>
      </c>
    </row>
    <row r="128" spans="2:9">
      <c r="H128" s="4">
        <v>32</v>
      </c>
      <c r="I128" s="4">
        <v>91</v>
      </c>
    </row>
    <row r="129" spans="8:9">
      <c r="H129" s="4">
        <v>31</v>
      </c>
      <c r="I129" s="4">
        <v>66</v>
      </c>
    </row>
    <row r="130" spans="8:9">
      <c r="H130" s="4">
        <v>30</v>
      </c>
      <c r="I130" s="4">
        <v>96</v>
      </c>
    </row>
    <row r="131" spans="8:9">
      <c r="H131" s="4">
        <v>29</v>
      </c>
      <c r="I131" s="4">
        <v>47</v>
      </c>
    </row>
    <row r="132" spans="8:9">
      <c r="H132" s="4">
        <v>28</v>
      </c>
      <c r="I132" s="4">
        <v>81</v>
      </c>
    </row>
    <row r="133" spans="8:9">
      <c r="H133" s="4">
        <v>27</v>
      </c>
      <c r="I133" s="4">
        <v>82</v>
      </c>
    </row>
    <row r="134" spans="8:9">
      <c r="H134" s="4">
        <v>26</v>
      </c>
      <c r="I134" s="4">
        <v>58</v>
      </c>
    </row>
    <row r="135" spans="8:9">
      <c r="H135" s="4">
        <v>25</v>
      </c>
      <c r="I135" s="4">
        <v>90</v>
      </c>
    </row>
    <row r="136" spans="8:9">
      <c r="H136" s="4">
        <v>24</v>
      </c>
      <c r="I136" s="4">
        <v>60</v>
      </c>
    </row>
    <row r="137" spans="8:9">
      <c r="H137" s="4">
        <v>23</v>
      </c>
      <c r="I137" s="4">
        <v>68</v>
      </c>
    </row>
    <row r="138" spans="8:9">
      <c r="H138" s="4">
        <v>22</v>
      </c>
      <c r="I138" s="4">
        <v>69</v>
      </c>
    </row>
    <row r="139" spans="8:9">
      <c r="H139" s="4">
        <v>21</v>
      </c>
      <c r="I139" s="4">
        <v>103</v>
      </c>
    </row>
    <row r="140" spans="8:9">
      <c r="H140" s="4">
        <v>20</v>
      </c>
      <c r="I140" s="4">
        <v>92</v>
      </c>
    </row>
    <row r="141" spans="8:9">
      <c r="H141" s="4">
        <v>19</v>
      </c>
      <c r="I141" s="4">
        <v>107</v>
      </c>
    </row>
    <row r="142" spans="8:9">
      <c r="H142" s="4">
        <v>18</v>
      </c>
      <c r="I142" s="4">
        <v>78</v>
      </c>
    </row>
    <row r="143" spans="8:9">
      <c r="H143" s="4">
        <v>17</v>
      </c>
      <c r="I143" s="4">
        <v>81</v>
      </c>
    </row>
    <row r="144" spans="8:9">
      <c r="H144" s="4">
        <v>16</v>
      </c>
      <c r="I144" s="4">
        <v>65</v>
      </c>
    </row>
    <row r="145" spans="8:9">
      <c r="H145" s="4">
        <v>15</v>
      </c>
      <c r="I145" s="4">
        <v>75</v>
      </c>
    </row>
    <row r="146" spans="8:9">
      <c r="H146" s="4">
        <v>14</v>
      </c>
      <c r="I146" s="4">
        <v>100</v>
      </c>
    </row>
    <row r="147" spans="8:9">
      <c r="H147" s="4">
        <v>13</v>
      </c>
      <c r="I147" s="4">
        <v>65</v>
      </c>
    </row>
    <row r="148" spans="8:9">
      <c r="H148" s="4">
        <v>12</v>
      </c>
      <c r="I148" s="4">
        <v>78</v>
      </c>
    </row>
    <row r="149" spans="8:9">
      <c r="H149" s="4">
        <v>11</v>
      </c>
      <c r="I149" s="4">
        <v>50</v>
      </c>
    </row>
    <row r="150" spans="8:9">
      <c r="H150" s="4">
        <v>10</v>
      </c>
      <c r="I150" s="4">
        <v>66</v>
      </c>
    </row>
    <row r="151" spans="8:9">
      <c r="H151" s="4">
        <v>9</v>
      </c>
      <c r="I151" s="4">
        <v>48</v>
      </c>
    </row>
    <row r="152" spans="8:9">
      <c r="H152" s="4">
        <v>8</v>
      </c>
      <c r="I152" s="4">
        <v>65</v>
      </c>
    </row>
    <row r="153" spans="8:9">
      <c r="H153" s="4">
        <v>7</v>
      </c>
      <c r="I153" s="4">
        <v>35</v>
      </c>
    </row>
    <row r="154" spans="8:9">
      <c r="H154" s="4">
        <v>6</v>
      </c>
      <c r="I154" s="4">
        <v>32</v>
      </c>
    </row>
    <row r="155" spans="8:9">
      <c r="H155" s="4">
        <v>5</v>
      </c>
      <c r="I155" s="4">
        <v>37</v>
      </c>
    </row>
    <row r="156" spans="8:9">
      <c r="H156" s="4">
        <v>4</v>
      </c>
      <c r="I156" s="4">
        <v>24</v>
      </c>
    </row>
    <row r="157" spans="8:9">
      <c r="H157" s="4">
        <v>3</v>
      </c>
      <c r="I157" s="4">
        <v>4</v>
      </c>
    </row>
    <row r="158" spans="8:9">
      <c r="H158" s="4">
        <v>2</v>
      </c>
      <c r="I158" s="4">
        <v>2</v>
      </c>
    </row>
  </sheetData>
  <mergeCells count="7">
    <mergeCell ref="K28:T28"/>
    <mergeCell ref="K29:T51"/>
    <mergeCell ref="B2:C2"/>
    <mergeCell ref="E2:F2"/>
    <mergeCell ref="H2:I2"/>
    <mergeCell ref="K4:N4"/>
    <mergeCell ref="K16:N16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라오스관련검색어</vt:lpstr>
      <vt:lpstr>라오스 연도별 성별 여행객 추이</vt:lpstr>
      <vt:lpstr>연령대_성별 여행객수</vt:lpstr>
      <vt:lpstr>그룹별</vt:lpstr>
      <vt:lpstr>상품가격별선호</vt:lpstr>
      <vt:lpstr>연령대별_상품가격선호</vt:lpstr>
      <vt:lpstr>성별_상품가격이용추이</vt:lpstr>
      <vt:lpstr>라오스 선행예약시점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VGL_P17041</dc:creator>
  <cp:lastModifiedBy>VGL_P17041</cp:lastModifiedBy>
  <dcterms:created xsi:type="dcterms:W3CDTF">2018-01-08T06:48:02Z</dcterms:created>
  <dcterms:modified xsi:type="dcterms:W3CDTF">2019-03-15T06:10:25Z</dcterms:modified>
</cp:coreProperties>
</file>